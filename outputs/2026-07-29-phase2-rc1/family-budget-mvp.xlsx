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47545b442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ыстрый старт" sheetId="1" r:id="R566ed08349a34cb7"/>
    <x:sheet xmlns:r="http://schemas.openxmlformats.org/officeDocument/2006/relationships" name="Дашборд" sheetId="2" r:id="Rbf5d85fa603c4914"/>
    <x:sheet xmlns:r="http://schemas.openxmlformats.org/officeDocument/2006/relationships" name="Горизонт 24 мес" sheetId="3" r:id="R9cced53e5e414cc5"/>
    <x:sheet xmlns:r="http://schemas.openxmlformats.org/officeDocument/2006/relationships" name="Крупные и ежегодные" sheetId="4" r:id="R395b4e2dc0284fc8"/>
    <x:sheet xmlns:r="http://schemas.openxmlformats.org/officeDocument/2006/relationships" name="Ежемесячные" sheetId="5" r:id="R8fc40f57552f4e80"/>
    <x:sheet xmlns:r="http://schemas.openxmlformats.org/officeDocument/2006/relationships" name="Сезонные" sheetId="6" r:id="R7d8bb9c0703b4c5f"/>
    <x:sheet xmlns:r="http://schemas.openxmlformats.org/officeDocument/2006/relationships" name="Повседневные" sheetId="7" r:id="Rb5becbd690824a25"/>
    <x:sheet xmlns:r="http://schemas.openxmlformats.org/officeDocument/2006/relationships" name="Операции" sheetId="8" r:id="R7c321c23361249fb"/>
    <x:sheet xmlns:r="http://schemas.openxmlformats.org/officeDocument/2006/relationships" name="Цели" sheetId="9" r:id="Rfc31c2f998434db0"/>
    <x:sheet xmlns:r="http://schemas.openxmlformats.org/officeDocument/2006/relationships" name="Настройки" sheetId="10" r:id="R1d016a9f5f7249ac"/>
    <x:sheet xmlns:r="http://schemas.openxmlformats.org/officeDocument/2006/relationships" name="Справочники" sheetId="11" r:id="Rbbbf73df669a4f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 &quot;₽&quot;;[Red]-#,##0 &quot;₽&quot;"/>
    <x:numFmt numFmtId="202" formatCode="0.0%"/>
    <x:numFmt numFmtId="203" formatCode="mmm yy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D35"/>
      <x:name val="Carlito"/>
    </x:font>
    <x:font>
      <x:sz val="11"/>
      <x:color rgb="FF173D35"/>
      <x:name val="Carlito"/>
    </x:font>
    <x:font>
      <x:b/>
      <x:sz val="11"/>
      <x:color rgb="FF176B58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D35"/>
      </x:patternFill>
    </x:fill>
    <x:fill>
      <x:patternFill patternType="solid">
        <x:fgColor rgb="FFDFF3EB"/>
      </x:patternFill>
    </x:fill>
    <x:fill>
      <x:patternFill patternType="solid">
        <x:fgColor rgb="FF176B58"/>
      </x:patternFill>
    </x:fill>
    <x:fill>
      <x:patternFill patternType="solid">
        <x:fgColor rgb="FFD49332"/>
      </x:patternFill>
    </x:fill>
    <x:fill>
      <x:patternFill patternType="solid">
        <x:fgColor rgb="FFFFF0CF"/>
      </x:patternFill>
    </x:fill>
    <x:fill>
      <x:patternFill patternType="solid">
        <x:fgColor rgb="FFF3F6F4"/>
      </x:patternFill>
    </x:fill>
    <x:fill>
      <x:patternFill patternType="solid">
        <x:fgColor rgb="FFFFF8D8"/>
      </x:patternFill>
    </x:fill>
    <x:fill>
      <x:patternFill patternType="solid">
        <x:fgColor rgb="FFFFF8E8"/>
      </x:patternFill>
    </x:fill>
    <x:fill>
      <x:patternFill patternType="solid">
        <x:fgColor rgb="FFE8F2FF"/>
      </x:patternFill>
    </x:fill>
    <x:fill>
      <x:patternFill patternType="solid">
        <x:fgColor rgb="FFFFFFFF"/>
      </x:patternFill>
    </x:fill>
    <x:fill>
      <x:patternFill patternType="solid">
        <x:fgColor rgb="FF356FA3"/>
      </x:patternFill>
    </x:fill>
    <x:fill>
      <x:patternFill patternType="solid">
        <x:fgColor rgb="FF2B8A72"/>
      </x:patternFill>
    </x:fill>
  </x:fills>
  <x:borders count="56">
    <x:border/>
    <x:border>
      <x:bottom style="thin">
        <x:color rgb="FFDCE4DF"/>
      </x:bottom>
    </x:border>
    <x:border>
      <x:top style="thin">
        <x:color rgb="FFDCE4DF"/>
      </x:top>
      <x:bottom style="thin">
        <x:color rgb="FFDCE4DF"/>
      </x:bottom>
    </x:border>
    <x:border>
      <x:top style="thin">
        <x:color rgb="FFDCE4DF"/>
      </x:top>
    </x:border>
    <x:border>
      <x:right style="thin">
        <x:color rgb="FFDCE4DF"/>
      </x:right>
    </x:border>
    <x:border>
      <x:left style="thin">
        <x:color rgb="FFDCE4DF"/>
      </x:left>
      <x:right style="thin">
        <x:color rgb="FFDCE4DF"/>
      </x:right>
    </x:border>
    <x:border>
      <x:left style="thin">
        <x:color rgb="FFDCE4DF"/>
      </x:left>
    </x:border>
    <x:border>
      <x:bottom style="thin">
        <x:color rgb="FFE6D59A"/>
      </x:bottom>
    </x:border>
    <x:border>
      <x:top style="thin">
        <x:color rgb="FFE6D59A"/>
      </x:top>
      <x:bottom style="thin">
        <x:color rgb="FFE6D59A"/>
      </x:bottom>
    </x:border>
    <x:border>
      <x:top style="thin">
        <x:color rgb="FFE6D59A"/>
      </x:top>
    </x:border>
    <x:border>
      <x:right style="thin">
        <x:color rgb="FFE6D59A"/>
      </x:right>
      <x:bottom style="thin">
        <x:color rgb="FFE6D59A"/>
      </x:bottom>
    </x:border>
    <x:border>
      <x:left style="thin">
        <x:color rgb="FFE6D59A"/>
      </x:left>
      <x:right style="thin">
        <x:color rgb="FFE6D59A"/>
      </x:right>
      <x:bottom style="thin">
        <x:color rgb="FFE6D59A"/>
      </x:bottom>
    </x:border>
    <x:border>
      <x:left style="thin">
        <x:color rgb="FFE6D59A"/>
      </x:left>
      <x:bottom style="thin">
        <x:color rgb="FFE6D59A"/>
      </x:bottom>
    </x:border>
    <x:border>
      <x:right style="thin">
        <x:color rgb="FFE6D59A"/>
      </x:right>
      <x:top style="thin">
        <x:color rgb="FFE6D59A"/>
      </x:top>
      <x:bottom style="thin">
        <x:color rgb="FFE6D59A"/>
      </x:bottom>
    </x:border>
    <x:border>
      <x:left style="thin">
        <x:color rgb="FFE6D59A"/>
      </x:left>
      <x:right style="thin">
        <x:color rgb="FFE6D59A"/>
      </x:right>
      <x:top style="thin">
        <x:color rgb="FFE6D59A"/>
      </x:top>
      <x:bottom style="thin">
        <x:color rgb="FFE6D59A"/>
      </x:bottom>
    </x:border>
    <x:border>
      <x:left style="thin">
        <x:color rgb="FFE6D59A"/>
      </x:left>
      <x:top style="thin">
        <x:color rgb="FFE6D59A"/>
      </x:top>
      <x:bottom style="thin">
        <x:color rgb="FFE6D59A"/>
      </x:bottom>
    </x:border>
    <x:border>
      <x:right style="thin">
        <x:color rgb="FFE6D59A"/>
      </x:right>
      <x:top style="thin">
        <x:color rgb="FFE6D59A"/>
      </x:top>
    </x:border>
    <x:border>
      <x:left style="thin">
        <x:color rgb="FFE6D59A"/>
      </x:left>
      <x:right style="thin">
        <x:color rgb="FFE6D59A"/>
      </x:right>
      <x:top style="thin">
        <x:color rgb="FFE6D59A"/>
      </x:top>
    </x:border>
    <x:border>
      <x:left style="thin">
        <x:color rgb="FFE6D59A"/>
      </x:left>
      <x:top style="thin">
        <x:color rgb="FFE6D59A"/>
      </x:top>
    </x:border>
    <x:border>
      <x:right style="thin">
        <x:color rgb="FFE6D59A"/>
      </x:right>
      <x:bottom style="thin">
        <x:color rgb="FFDCE4DF"/>
      </x:bottom>
    </x:border>
    <x:border>
      <x:left style="thin">
        <x:color rgb="FFE6D59A"/>
      </x:left>
      <x:right style="thin">
        <x:color rgb="FFE6D59A"/>
      </x:right>
      <x:bottom style="thin">
        <x:color rgb="FFDCE4DF"/>
      </x:bottom>
    </x:border>
    <x:border>
      <x:left style="thin">
        <x:color rgb="FFE6D59A"/>
      </x:left>
      <x:bottom style="thin">
        <x:color rgb="FFDCE4DF"/>
      </x:bottom>
    </x:border>
    <x:border>
      <x:right style="thin">
        <x:color rgb="FFE6D59A"/>
      </x:right>
      <x:top style="thin">
        <x:color rgb="FFDCE4DF"/>
      </x:top>
      <x:bottom style="thin">
        <x:color rgb="FFDCE4DF"/>
      </x:bottom>
    </x:border>
    <x:border>
      <x:left style="thin">
        <x:color rgb="FFE6D59A"/>
      </x:left>
      <x:right style="thin">
        <x:color rgb="FFE6D59A"/>
      </x:right>
      <x:top style="thin">
        <x:color rgb="FFDCE4DF"/>
      </x:top>
      <x:bottom style="thin">
        <x:color rgb="FFDCE4DF"/>
      </x:bottom>
    </x:border>
    <x:border>
      <x:left style="thin">
        <x:color rgb="FFE6D59A"/>
      </x:left>
      <x:top style="thin">
        <x:color rgb="FFDCE4DF"/>
      </x:top>
      <x:bottom style="thin">
        <x:color rgb="FFDCE4DF"/>
      </x:bottom>
    </x:border>
    <x:border>
      <x:right style="thin">
        <x:color rgb="FFE6D59A"/>
      </x:right>
      <x:top style="thin">
        <x:color rgb="FFDCE4DF"/>
      </x:top>
      <x:bottom style="thin">
        <x:color rgb="FFE6D59A"/>
      </x:bottom>
    </x:border>
    <x:border>
      <x:left style="thin">
        <x:color rgb="FFE6D59A"/>
      </x:left>
      <x:right style="thin">
        <x:color rgb="FFE6D59A"/>
      </x:right>
      <x:top style="thin">
        <x:color rgb="FFDCE4DF"/>
      </x:top>
      <x:bottom style="thin">
        <x:color rgb="FFE6D59A"/>
      </x:bottom>
    </x:border>
    <x:border>
      <x:left style="thin">
        <x:color rgb="FFE6D59A"/>
      </x:left>
      <x:top style="thin">
        <x:color rgb="FFDCE4DF"/>
      </x:top>
      <x:bottom style="thin">
        <x:color rgb="FFE6D59A"/>
      </x:bottom>
    </x:border>
    <x:border>
      <x:top style="thin">
        <x:color rgb="FFDCE4DF"/>
      </x:top>
      <x:bottom style="thin">
        <x:color rgb="FFE6D59A"/>
      </x:bottom>
    </x:border>
    <x:border>
      <x:right style="thin">
        <x:color rgb="FFE6D59A"/>
      </x:right>
      <x:top style="thin">
        <x:color rgb="FFDCE4DF"/>
      </x:top>
    </x:border>
    <x:border>
      <x:left style="thin">
        <x:color rgb="FFE6D59A"/>
      </x:left>
      <x:right style="thin">
        <x:color rgb="FFE6D59A"/>
      </x:right>
      <x:top style="thin">
        <x:color rgb="FFDCE4DF"/>
      </x:top>
    </x:border>
    <x:border>
      <x:left style="thin">
        <x:color rgb="FFE6D59A"/>
      </x:left>
      <x:top style="thin">
        <x:color rgb="FFDCE4DF"/>
      </x:top>
    </x:border>
    <x:border>
      <x:left style="medium">
        <x:color rgb="FF176B58"/>
      </x:left>
      <x:top style="medium">
        <x:color rgb="FF176B58"/>
      </x:top>
    </x:border>
    <x:border>
      <x:top style="medium">
        <x:color rgb="FF176B58"/>
      </x:top>
    </x:border>
    <x:border>
      <x:right style="medium">
        <x:color rgb="FF176B58"/>
      </x:right>
      <x:top style="medium">
        <x:color rgb="FF176B58"/>
      </x:top>
    </x:border>
    <x:border>
      <x:left style="medium">
        <x:color rgb="FF176B58"/>
      </x:left>
      <x:bottom style="medium">
        <x:color rgb="FF176B58"/>
      </x:bottom>
    </x:border>
    <x:border>
      <x:bottom style="medium">
        <x:color rgb="FF176B58"/>
      </x:bottom>
    </x:border>
    <x:border>
      <x:right style="medium">
        <x:color rgb="FF176B58"/>
      </x:right>
      <x:bottom style="medium">
        <x:color rgb="FF176B58"/>
      </x:bottom>
    </x:border>
    <x:border>
      <x:left style="medium">
        <x:color rgb="FFD49332"/>
      </x:left>
      <x:top style="medium">
        <x:color rgb="FFD49332"/>
      </x:top>
    </x:border>
    <x:border>
      <x:top style="medium">
        <x:color rgb="FFD49332"/>
      </x:top>
    </x:border>
    <x:border>
      <x:right style="medium">
        <x:color rgb="FFD49332"/>
      </x:right>
      <x:top style="medium">
        <x:color rgb="FFD49332"/>
      </x:top>
    </x:border>
    <x:border>
      <x:left style="medium">
        <x:color rgb="FFD49332"/>
      </x:left>
      <x:bottom style="medium">
        <x:color rgb="FFD49332"/>
      </x:bottom>
    </x:border>
    <x:border>
      <x:bottom style="medium">
        <x:color rgb="FFD49332"/>
      </x:bottom>
    </x:border>
    <x:border>
      <x:right style="medium">
        <x:color rgb="FFD49332"/>
      </x:right>
      <x:bottom style="medium">
        <x:color rgb="FFD49332"/>
      </x:bottom>
    </x:border>
    <x:border>
      <x:left style="medium">
        <x:color rgb="FF356FA3"/>
      </x:left>
      <x:top style="medium">
        <x:color rgb="FF356FA3"/>
      </x:top>
    </x:border>
    <x:border>
      <x:top style="medium">
        <x:color rgb="FF356FA3"/>
      </x:top>
    </x:border>
    <x:border>
      <x:right style="medium">
        <x:color rgb="FF356FA3"/>
      </x:right>
      <x:top style="medium">
        <x:color rgb="FF356FA3"/>
      </x:top>
    </x:border>
    <x:border>
      <x:left style="medium">
        <x:color rgb="FF356FA3"/>
      </x:left>
      <x:bottom style="medium">
        <x:color rgb="FF356FA3"/>
      </x:bottom>
    </x:border>
    <x:border>
      <x:bottom style="medium">
        <x:color rgb="FF356FA3"/>
      </x:bottom>
    </x:border>
    <x:border>
      <x:right style="medium">
        <x:color rgb="FF356FA3"/>
      </x:right>
      <x:bottom style="medium">
        <x:color rgb="FF356FA3"/>
      </x:bottom>
    </x:border>
    <x:border>
      <x:left style="medium">
        <x:color rgb="FF2B8A72"/>
      </x:left>
      <x:top style="medium">
        <x:color rgb="FF2B8A72"/>
      </x:top>
    </x:border>
    <x:border>
      <x:top style="medium">
        <x:color rgb="FF2B8A72"/>
      </x:top>
    </x:border>
    <x:border>
      <x:right style="medium">
        <x:color rgb="FF2B8A72"/>
      </x:right>
      <x:top style="medium">
        <x:color rgb="FF2B8A72"/>
      </x:top>
    </x:border>
    <x:border>
      <x:left style="medium">
        <x:color rgb="FF2B8A72"/>
      </x:left>
      <x:bottom style="medium">
        <x:color rgb="FF2B8A72"/>
      </x:bottom>
    </x:border>
    <x:border>
      <x:bottom style="medium">
        <x:color rgb="FF2B8A72"/>
      </x:bottom>
    </x:border>
    <x:border>
      <x:right style="medium">
        <x:color rgb="FF2B8A72"/>
      </x:right>
      <x:bottom style="medium">
        <x:color rgb="FF2B8A72"/>
      </x:bottom>
    </x:border>
  </x:borders>
  <x:cellStyleXfs count="1">
    <x:xf numFmtId="0" fontId="0" fillId="0" borderId="0"/>
  </x:cellStyleXfs>
  <x:cellXfs count="3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200" fontId="0" fillId="8" borderId="7" xfId="0" applyNumberFormat="1" applyFont="1" applyFill="1" applyBorder="1"/>
    <x:xf numFmtId="200" fontId="0" fillId="8" borderId="7" xfId="0" applyNumberFormat="1" applyFont="1" applyFill="1" applyBorder="1" applyAlignment="1">
      <x:alignment horizontal="center"/>
    </x:xf>
    <x:xf numFmtId="201" fontId="0" fillId="8" borderId="8" xfId="0" applyNumberFormat="1" applyFont="1" applyFill="1" applyBorder="1"/>
    <x:xf numFmtId="201" fontId="0" fillId="8" borderId="8" xfId="0" applyNumberFormat="1" applyFont="1" applyFill="1" applyBorder="1" applyAlignment="1">
      <x:alignment horizontal="right"/>
    </x:xf>
    <x:xf numFmtId="202" fontId="0" fillId="8" borderId="8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201" fontId="0" fillId="8" borderId="11" xfId="0" applyNumberFormat="1" applyFont="1" applyFill="1" applyBorder="1"/>
    <x:xf numFmtId="201" fontId="0" fillId="8" borderId="12" xfId="0" applyNumberFormat="1" applyFont="1" applyFill="1" applyBorder="1"/>
    <x:xf numFmtId="201" fontId="0" fillId="8" borderId="14" xfId="0" applyNumberFormat="1" applyFont="1" applyFill="1" applyBorder="1"/>
    <x:xf numFmtId="201" fontId="0" fillId="8" borderId="15" xfId="0" applyNumberFormat="1" applyFont="1" applyFill="1" applyBorder="1"/>
    <x:xf numFmtId="201" fontId="0" fillId="8" borderId="17" xfId="0" applyNumberFormat="1" applyFont="1" applyFill="1" applyBorder="1"/>
    <x:xf numFmtId="201" fontId="0" fillId="8" borderId="18" xfId="0" applyNumberFormat="1" applyFont="1" applyFill="1" applyBorder="1"/>
    <x:xf numFmtId="201" fontId="0" fillId="8" borderId="11" xfId="0" applyNumberFormat="1" applyFont="1" applyFill="1" applyBorder="1" applyAlignment="1">
      <x:alignment horizontal="right"/>
    </x:xf>
    <x:xf numFmtId="201" fontId="0" fillId="8" borderId="12" xfId="0" applyNumberFormat="1" applyFont="1" applyFill="1" applyBorder="1" applyAlignment="1">
      <x:alignment horizontal="right"/>
    </x:xf>
    <x:xf numFmtId="201" fontId="0" fillId="8" borderId="14" xfId="0" applyNumberFormat="1" applyFont="1" applyFill="1" applyBorder="1" applyAlignment="1">
      <x:alignment horizontal="right"/>
    </x:xf>
    <x:xf numFmtId="201" fontId="0" fillId="8" borderId="15" xfId="0" applyNumberFormat="1" applyFont="1" applyFill="1" applyBorder="1" applyAlignment="1">
      <x:alignment horizontal="right"/>
    </x:xf>
    <x:xf numFmtId="201" fontId="0" fillId="8" borderId="17" xfId="0" applyNumberFormat="1" applyFont="1" applyFill="1" applyBorder="1" applyAlignment="1">
      <x:alignment horizontal="right"/>
    </x:xf>
    <x:xf numFmtId="201" fontId="0" fillId="8" borderId="18" xfId="0" applyNumberFormat="1" applyFont="1" applyFill="1" applyBorder="1" applyAlignment="1">
      <x:alignment horizontal="right"/>
    </x:xf>
    <x:xf numFmtId="201" fontId="3" fillId="10" borderId="0" xfId="0" applyNumberFormat="1" applyFont="1" applyFill="1" applyBorder="1"/>
    <x:xf numFmtId="201" fontId="3" fillId="10" borderId="0" xfId="0" applyNumberFormat="1" applyFont="1" applyFill="1" applyBorder="1" applyAlignment="1">
      <x:alignment horizontal="right"/>
    </x:xf>
    <x:xf numFmtId="200" fontId="0" fillId="8" borderId="11" xfId="0" applyNumberFormat="1" applyFont="1" applyFill="1" applyBorder="1"/>
    <x:xf numFmtId="200" fontId="0" fillId="8" borderId="14" xfId="0" applyNumberFormat="1" applyFont="1" applyFill="1" applyBorder="1"/>
    <x:xf numFmtId="200" fontId="0" fillId="8" borderId="17" xfId="0" applyNumberFormat="1" applyFont="1" applyFill="1" applyBorder="1"/>
    <x:xf numFmtId="200" fontId="0" fillId="8" borderId="11" xfId="0" applyNumberFormat="1" applyFont="1" applyFill="1" applyBorder="1" applyAlignment="1">
      <x:alignment horizontal="center"/>
    </x:xf>
    <x:xf numFmtId="200" fontId="0" fillId="8" borderId="14" xfId="0" applyNumberFormat="1" applyFont="1" applyFill="1" applyBorder="1" applyAlignment="1">
      <x:alignment horizontal="center"/>
    </x:xf>
    <x:xf numFmtId="200" fontId="0" fillId="8" borderId="17" xfId="0" applyNumberFormat="1" applyFont="1" applyFill="1" applyBorder="1" applyAlignment="1">
      <x:alignment horizontal="center"/>
    </x:xf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200" fontId="0" fillId="8" borderId="20" xfId="0" applyNumberFormat="1" applyFont="1" applyFill="1" applyBorder="1" applyAlignment="1">
      <x:alignment horizontal="center"/>
    </x:xf>
    <x:xf numFmtId="201" fontId="0" fillId="8" borderId="20" xfId="0" applyNumberFormat="1" applyFont="1" applyFill="1" applyBorder="1" applyAlignment="1">
      <x:alignment horizontal="right"/>
    </x:xf>
    <x:xf numFmtId="201" fontId="0" fillId="8" borderId="21" xfId="0" applyNumberFormat="1" applyFont="1" applyFill="1" applyBorder="1" applyAlignment="1">
      <x:alignment horizontal="right"/>
    </x:xf>
    <x:xf numFmtId="0" fontId="3" fillId="10" borderId="1" xfId="0" applyNumberFormat="1" applyFont="1" applyFill="1" applyBorder="1"/>
    <x:xf numFmtId="201" fontId="3" fillId="10" borderId="1" xfId="0" applyNumberFormat="1" applyFont="1" applyFill="1" applyBorder="1" applyAlignment="1">
      <x:alignment horizontal="right"/>
    </x:xf>
    <x:xf numFmtId="0" fontId="0" fillId="8" borderId="1" xfId="0" applyNumberFormat="1" applyFont="1" applyFill="1" applyBorder="1"/>
    <x:xf numFmtId="201" fontId="3" fillId="10" borderId="19" xfId="0" applyNumberFormat="1" applyFont="1" applyFill="1" applyBorder="1" applyAlignment="1">
      <x:alignment horizontal="right"/>
    </x:xf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200" fontId="0" fillId="8" borderId="23" xfId="0" applyNumberFormat="1" applyFont="1" applyFill="1" applyBorder="1" applyAlignment="1">
      <x:alignment horizontal="center"/>
    </x:xf>
    <x:xf numFmtId="201" fontId="0" fillId="8" borderId="23" xfId="0" applyNumberFormat="1" applyFont="1" applyFill="1" applyBorder="1" applyAlignment="1">
      <x:alignment horizontal="right"/>
    </x:xf>
    <x:xf numFmtId="201" fontId="0" fillId="8" borderId="24" xfId="0" applyNumberFormat="1" applyFont="1" applyFill="1" applyBorder="1" applyAlignment="1">
      <x:alignment horizontal="right"/>
    </x:xf>
    <x:xf numFmtId="0" fontId="3" fillId="10" borderId="2" xfId="0" applyNumberFormat="1" applyFont="1" applyFill="1" applyBorder="1"/>
    <x:xf numFmtId="201" fontId="3" fillId="10" borderId="2" xfId="0" applyNumberFormat="1" applyFont="1" applyFill="1" applyBorder="1" applyAlignment="1">
      <x:alignment horizontal="right"/>
    </x:xf>
    <x:xf numFmtId="0" fontId="0" fillId="8" borderId="2" xfId="0" applyNumberFormat="1" applyFont="1" applyFill="1" applyBorder="1"/>
    <x:xf numFmtId="201" fontId="3" fillId="10" borderId="22" xfId="0" applyNumberFormat="1" applyFont="1" applyFill="1" applyBorder="1" applyAlignment="1">
      <x:alignment horizontal="right"/>
    </x:xf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200" fontId="0" fillId="8" borderId="26" xfId="0" applyNumberFormat="1" applyFont="1" applyFill="1" applyBorder="1" applyAlignment="1">
      <x:alignment horizontal="center"/>
    </x:xf>
    <x:xf numFmtId="201" fontId="0" fillId="8" borderId="26" xfId="0" applyNumberFormat="1" applyFont="1" applyFill="1" applyBorder="1" applyAlignment="1">
      <x:alignment horizontal="right"/>
    </x:xf>
    <x:xf numFmtId="201" fontId="0" fillId="8" borderId="27" xfId="0" applyNumberFormat="1" applyFont="1" applyFill="1" applyBorder="1" applyAlignment="1">
      <x:alignment horizontal="right"/>
    </x:xf>
    <x:xf numFmtId="0" fontId="3" fillId="10" borderId="28" xfId="0" applyNumberFormat="1" applyFont="1" applyFill="1" applyBorder="1"/>
    <x:xf numFmtId="201" fontId="3" fillId="10" borderId="28" xfId="0" applyNumberFormat="1" applyFont="1" applyFill="1" applyBorder="1" applyAlignment="1">
      <x:alignment horizontal="right"/>
    </x:xf>
    <x:xf numFmtId="0" fontId="0" fillId="8" borderId="28" xfId="0" applyNumberFormat="1" applyFont="1" applyFill="1" applyBorder="1"/>
    <x:xf numFmtId="201" fontId="3" fillId="10" borderId="25" xfId="0" applyNumberFormat="1" applyFont="1" applyFill="1" applyBorder="1" applyAlignment="1">
      <x:alignment horizontal="right"/>
    </x:xf>
    <x:xf numFmtId="0" fontId="0" fillId="8" borderId="19" xfId="0" applyNumberFormat="1" applyFont="1" applyFill="1" applyBorder="1" applyAlignment="1">
      <x:alignment vertical="center"/>
    </x:xf>
    <x:xf numFmtId="0" fontId="0" fillId="8" borderId="20" xfId="0" applyNumberFormat="1" applyFont="1" applyFill="1" applyBorder="1" applyAlignment="1">
      <x:alignment vertical="center"/>
    </x:xf>
    <x:xf numFmtId="200" fontId="0" fillId="8" borderId="20" xfId="0" applyNumberFormat="1" applyFont="1" applyFill="1" applyBorder="1" applyAlignment="1">
      <x:alignment horizontal="center" vertical="center"/>
    </x:xf>
    <x:xf numFmtId="201" fontId="0" fillId="8" borderId="20" xfId="0" applyNumberFormat="1" applyFont="1" applyFill="1" applyBorder="1" applyAlignment="1">
      <x:alignment horizontal="right" vertical="center"/>
    </x:xf>
    <x:xf numFmtId="201" fontId="0" fillId="8" borderId="21" xfId="0" applyNumberFormat="1" applyFont="1" applyFill="1" applyBorder="1" applyAlignment="1">
      <x:alignment horizontal="right" vertical="center"/>
    </x:xf>
    <x:xf numFmtId="0" fontId="3" fillId="10" borderId="1" xfId="0" applyNumberFormat="1" applyFont="1" applyFill="1" applyBorder="1" applyAlignment="1">
      <x:alignment vertical="center"/>
    </x:xf>
    <x:xf numFmtId="201" fontId="3" fillId="10" borderId="1" xfId="0" applyNumberFormat="1" applyFont="1" applyFill="1" applyBorder="1" applyAlignment="1">
      <x:alignment horizontal="right" vertical="center"/>
    </x:xf>
    <x:xf numFmtId="0" fontId="0" fillId="8" borderId="1" xfId="0" applyNumberFormat="1" applyFont="1" applyFill="1" applyBorder="1" applyAlignment="1">
      <x:alignment vertical="center"/>
    </x:xf>
    <x:xf numFmtId="201" fontId="3" fillId="10" borderId="19" xfId="0" applyNumberFormat="1" applyFont="1" applyFill="1" applyBorder="1" applyAlignment="1">
      <x:alignment horizontal="right" vertical="center"/>
    </x:xf>
    <x:xf numFmtId="0" fontId="0" fillId="8" borderId="22" xfId="0" applyNumberFormat="1" applyFont="1" applyFill="1" applyBorder="1" applyAlignment="1">
      <x:alignment vertical="center"/>
    </x:xf>
    <x:xf numFmtId="0" fontId="0" fillId="8" borderId="23" xfId="0" applyNumberFormat="1" applyFont="1" applyFill="1" applyBorder="1" applyAlignment="1">
      <x:alignment vertical="center"/>
    </x:xf>
    <x:xf numFmtId="200" fontId="0" fillId="8" borderId="23" xfId="0" applyNumberFormat="1" applyFont="1" applyFill="1" applyBorder="1" applyAlignment="1">
      <x:alignment horizontal="center" vertical="center"/>
    </x:xf>
    <x:xf numFmtId="201" fontId="0" fillId="8" borderId="23" xfId="0" applyNumberFormat="1" applyFont="1" applyFill="1" applyBorder="1" applyAlignment="1">
      <x:alignment horizontal="right" vertical="center"/>
    </x:xf>
    <x:xf numFmtId="201" fontId="0" fillId="8" borderId="24" xfId="0" applyNumberFormat="1" applyFont="1" applyFill="1" applyBorder="1" applyAlignment="1">
      <x:alignment horizontal="right" vertical="center"/>
    </x:xf>
    <x:xf numFmtId="0" fontId="3" fillId="10" borderId="2" xfId="0" applyNumberFormat="1" applyFont="1" applyFill="1" applyBorder="1" applyAlignment="1">
      <x:alignment vertical="center"/>
    </x:xf>
    <x:xf numFmtId="201" fontId="3" fillId="10" borderId="2" xfId="0" applyNumberFormat="1" applyFont="1" applyFill="1" applyBorder="1" applyAlignment="1">
      <x:alignment horizontal="right" vertical="center"/>
    </x:xf>
    <x:xf numFmtId="0" fontId="0" fillId="8" borderId="2" xfId="0" applyNumberFormat="1" applyFont="1" applyFill="1" applyBorder="1" applyAlignment="1">
      <x:alignment vertical="center"/>
    </x:xf>
    <x:xf numFmtId="201" fontId="3" fillId="10" borderId="22" xfId="0" applyNumberFormat="1" applyFont="1" applyFill="1" applyBorder="1" applyAlignment="1">
      <x:alignment horizontal="right" vertical="center"/>
    </x:xf>
    <x:xf numFmtId="0" fontId="0" fillId="8" borderId="25" xfId="0" applyNumberFormat="1" applyFont="1" applyFill="1" applyBorder="1" applyAlignment="1">
      <x:alignment vertical="center"/>
    </x:xf>
    <x:xf numFmtId="0" fontId="0" fillId="8" borderId="26" xfId="0" applyNumberFormat="1" applyFont="1" applyFill="1" applyBorder="1" applyAlignment="1">
      <x:alignment vertical="center"/>
    </x:xf>
    <x:xf numFmtId="200" fontId="0" fillId="8" borderId="26" xfId="0" applyNumberFormat="1" applyFont="1" applyFill="1" applyBorder="1" applyAlignment="1">
      <x:alignment horizontal="center" vertical="center"/>
    </x:xf>
    <x:xf numFmtId="201" fontId="0" fillId="8" borderId="26" xfId="0" applyNumberFormat="1" applyFont="1" applyFill="1" applyBorder="1" applyAlignment="1">
      <x:alignment horizontal="right" vertical="center"/>
    </x:xf>
    <x:xf numFmtId="201" fontId="0" fillId="8" borderId="27" xfId="0" applyNumberFormat="1" applyFont="1" applyFill="1" applyBorder="1" applyAlignment="1">
      <x:alignment horizontal="right" vertical="center"/>
    </x:xf>
    <x:xf numFmtId="0" fontId="3" fillId="10" borderId="28" xfId="0" applyNumberFormat="1" applyFont="1" applyFill="1" applyBorder="1" applyAlignment="1">
      <x:alignment vertical="center"/>
    </x:xf>
    <x:xf numFmtId="201" fontId="3" fillId="10" borderId="28" xfId="0" applyNumberFormat="1" applyFont="1" applyFill="1" applyBorder="1" applyAlignment="1">
      <x:alignment horizontal="right" vertical="center"/>
    </x:xf>
    <x:xf numFmtId="0" fontId="0" fillId="8" borderId="28" xfId="0" applyNumberFormat="1" applyFont="1" applyFill="1" applyBorder="1" applyAlignment="1">
      <x:alignment vertical="center"/>
    </x:xf>
    <x:xf numFmtId="201" fontId="3" fillId="10" borderId="25" xfId="0" applyNumberFormat="1" applyFont="1" applyFill="1" applyBorder="1" applyAlignment="1">
      <x:alignment horizontal="right" vertical="center"/>
    </x:xf>
    <x:xf numFmtId="0" fontId="0" fillId="8" borderId="20" xfId="0" applyNumberFormat="1" applyFont="1" applyFill="1" applyBorder="1" applyAlignment="1">
      <x:alignment horizontal="center" vertical="center"/>
    </x:xf>
    <x:xf numFmtId="0" fontId="0" fillId="8" borderId="23" xfId="0" applyNumberFormat="1" applyFont="1" applyFill="1" applyBorder="1" applyAlignment="1">
      <x:alignment horizontal="center" vertical="center"/>
    </x:xf>
    <x:xf numFmtId="0" fontId="0" fillId="8" borderId="26" xfId="0" applyNumberFormat="1" applyFont="1" applyFill="1" applyBorder="1" applyAlignment="1">
      <x:alignment horizontal="center" vertical="center"/>
    </x:xf>
    <x:xf numFmtId="0" fontId="3" fillId="10" borderId="1" xfId="0" applyNumberFormat="1" applyFont="1" applyFill="1" applyBorder="1" applyAlignment="1">
      <x:alignment horizontal="center" vertical="center"/>
    </x:xf>
    <x:xf numFmtId="0" fontId="3" fillId="10" borderId="2" xfId="0" applyNumberFormat="1" applyFont="1" applyFill="1" applyBorder="1" applyAlignment="1">
      <x:alignment horizontal="center" vertical="center"/>
    </x:xf>
    <x:xf numFmtId="0" fontId="3" fillId="10" borderId="28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 applyAlignment="1">
      <x:alignment horizontal="center" vertical="center"/>
    </x:xf>
    <x:xf numFmtId="0" fontId="0" fillId="8" borderId="2" xfId="0" applyNumberFormat="1" applyFont="1" applyFill="1" applyBorder="1" applyAlignment="1">
      <x:alignment horizontal="center" vertical="center"/>
    </x:xf>
    <x:xf numFmtId="0" fontId="0" fillId="8" borderId="28" xfId="0" applyNumberFormat="1" applyFont="1" applyFill="1" applyBorder="1" applyAlignment="1">
      <x:alignment horizontal="center" vertical="center"/>
    </x:xf>
    <x:xf numFmtId="0" fontId="0" fillId="8" borderId="21" xfId="0" applyNumberFormat="1" applyFont="1" applyFill="1" applyBorder="1"/>
    <x:xf numFmtId="0" fontId="0" fillId="8" borderId="24" xfId="0" applyNumberFormat="1" applyFont="1" applyFill="1" applyBorder="1"/>
    <x:xf numFmtId="0" fontId="0" fillId="8" borderId="29" xfId="0" applyNumberFormat="1" applyFont="1" applyFill="1" applyBorder="1"/>
    <x:xf numFmtId="0" fontId="0" fillId="8" borderId="30" xfId="0" applyNumberFormat="1" applyFont="1" applyFill="1" applyBorder="1"/>
    <x:xf numFmtId="201" fontId="0" fillId="8" borderId="30" xfId="0" applyNumberFormat="1" applyFont="1" applyFill="1" applyBorder="1" applyAlignment="1">
      <x:alignment horizontal="right"/>
    </x:xf>
    <x:xf numFmtId="0" fontId="0" fillId="8" borderId="31" xfId="0" applyNumberFormat="1" applyFont="1" applyFill="1" applyBorder="1"/>
    <x:xf numFmtId="0" fontId="0" fillId="8" borderId="21" xfId="0" applyNumberFormat="1" applyFont="1" applyFill="1" applyBorder="1" applyAlignment="1">
      <x:alignment vertical="center"/>
    </x:xf>
    <x:xf numFmtId="0" fontId="0" fillId="8" borderId="24" xfId="0" applyNumberFormat="1" applyFont="1" applyFill="1" applyBorder="1" applyAlignment="1">
      <x:alignment vertical="center"/>
    </x:xf>
    <x:xf numFmtId="0" fontId="0" fillId="8" borderId="29" xfId="0" applyNumberFormat="1" applyFont="1" applyFill="1" applyBorder="1" applyAlignment="1">
      <x:alignment vertical="center"/>
    </x:xf>
    <x:xf numFmtId="0" fontId="0" fillId="8" borderId="30" xfId="0" applyNumberFormat="1" applyFont="1" applyFill="1" applyBorder="1" applyAlignment="1">
      <x:alignment vertical="center"/>
    </x:xf>
    <x:xf numFmtId="201" fontId="0" fillId="8" borderId="30" xfId="0" applyNumberFormat="1" applyFont="1" applyFill="1" applyBorder="1" applyAlignment="1">
      <x:alignment horizontal="right" vertical="center"/>
    </x:xf>
    <x:xf numFmtId="0" fontId="0" fillId="8" borderId="31" xfId="0" applyNumberFormat="1" applyFont="1" applyFill="1" applyBorder="1" applyAlignment="1">
      <x:alignment vertical="center"/>
    </x:xf>
    <x:xf numFmtId="0" fontId="0" fillId="8" borderId="21" xfId="0" applyNumberFormat="1" applyFont="1" applyFill="1" applyBorder="1" applyAlignment="1">
      <x:alignment horizontal="center" vertical="center"/>
    </x:xf>
    <x:xf numFmtId="0" fontId="0" fillId="8" borderId="24" xfId="0" applyNumberFormat="1" applyFont="1" applyFill="1" applyBorder="1" applyAlignment="1">
      <x:alignment horizontal="center" vertical="center"/>
    </x:xf>
    <x:xf numFmtId="0" fontId="0" fillId="8" borderId="30" xfId="0" applyNumberFormat="1" applyFont="1" applyFill="1" applyBorder="1" applyAlignment="1">
      <x:alignment horizontal="center" vertical="center"/>
    </x:xf>
    <x:xf numFmtId="0" fontId="0" fillId="8" borderId="31" xfId="0" applyNumberFormat="1" applyFont="1" applyFill="1" applyBorder="1" applyAlignment="1">
      <x:alignment horizontal="center" vertical="center"/>
    </x:xf>
    <x:xf numFmtId="200" fontId="0" fillId="8" borderId="10" xfId="0" applyNumberFormat="1" applyFont="1" applyFill="1" applyBorder="1"/>
    <x:xf numFmtId="200" fontId="0" fillId="8" borderId="13" xfId="0" applyNumberFormat="1" applyFont="1" applyFill="1" applyBorder="1"/>
    <x:xf numFmtId="200" fontId="0" fillId="8" borderId="16" xfId="0" applyNumberFormat="1" applyFont="1" applyFill="1" applyBorder="1"/>
    <x:xf numFmtId="200" fontId="0" fillId="8" borderId="10" xfId="0" applyNumberFormat="1" applyFont="1" applyFill="1" applyBorder="1" applyAlignment="1">
      <x:alignment horizontal="center"/>
    </x:xf>
    <x:xf numFmtId="200" fontId="0" fillId="8" borderId="13" xfId="0" applyNumberFormat="1" applyFont="1" applyFill="1" applyBorder="1" applyAlignment="1">
      <x:alignment horizontal="center"/>
    </x:xf>
    <x:xf numFmtId="200" fontId="0" fillId="8" borderId="16" xfId="0" applyNumberFormat="1" applyFont="1" applyFill="1" applyBorder="1" applyAlignment="1">
      <x:alignment horizontal="center"/>
    </x:xf>
    <x:xf numFmtId="200" fontId="0" fillId="8" borderId="19" xfId="0" applyNumberFormat="1" applyFont="1" applyFill="1" applyBorder="1" applyAlignment="1">
      <x:alignment horizontal="center"/>
    </x:xf>
    <x:xf numFmtId="200" fontId="0" fillId="8" borderId="22" xfId="0" applyNumberFormat="1" applyFont="1" applyFill="1" applyBorder="1" applyAlignment="1">
      <x:alignment horizontal="center"/>
    </x:xf>
    <x:xf numFmtId="200" fontId="0" fillId="8" borderId="29" xfId="0" applyNumberFormat="1" applyFont="1" applyFill="1" applyBorder="1" applyAlignment="1">
      <x:alignment horizontal="center"/>
    </x:xf>
    <x:xf numFmtId="200" fontId="0" fillId="8" borderId="19" xfId="0" applyNumberFormat="1" applyFont="1" applyFill="1" applyBorder="1" applyAlignment="1">
      <x:alignment horizontal="center" vertical="center"/>
    </x:xf>
    <x:xf numFmtId="200" fontId="0" fillId="8" borderId="22" xfId="0" applyNumberFormat="1" applyFont="1" applyFill="1" applyBorder="1" applyAlignment="1">
      <x:alignment horizontal="center" vertical="center"/>
    </x:xf>
    <x:xf numFmtId="200" fontId="0" fillId="8" borderId="29" xfId="0" applyNumberFormat="1" applyFont="1" applyFill="1" applyBorder="1" applyAlignment="1">
      <x:alignment horizontal="center" vertical="center"/>
    </x:xf>
    <x:xf numFmtId="202" fontId="3" fillId="10" borderId="0" xfId="0" applyNumberFormat="1" applyFont="1" applyFill="1" applyBorder="1"/>
    <x:xf numFmtId="202" fontId="3" fillId="10" borderId="1" xfId="0" applyNumberFormat="1" applyFont="1" applyFill="1" applyBorder="1"/>
    <x:xf numFmtId="202" fontId="3" fillId="10" borderId="2" xfId="0" applyNumberFormat="1" applyFont="1" applyFill="1" applyBorder="1"/>
    <x:xf numFmtId="202" fontId="3" fillId="10" borderId="28" xfId="0" applyNumberFormat="1" applyFont="1" applyFill="1" applyBorder="1"/>
    <x:xf numFmtId="202" fontId="3" fillId="10" borderId="1" xfId="0" applyNumberFormat="1" applyFont="1" applyFill="1" applyBorder="1" applyAlignment="1">
      <x:alignment vertical="center"/>
    </x:xf>
    <x:xf numFmtId="202" fontId="3" fillId="10" borderId="2" xfId="0" applyNumberFormat="1" applyFont="1" applyFill="1" applyBorder="1" applyAlignment="1">
      <x:alignment vertical="center"/>
    </x:xf>
    <x:xf numFmtId="202" fontId="3" fillId="10" borderId="28" xfId="0" applyNumberFormat="1" applyFont="1" applyFill="1" applyBorder="1" applyAlignment="1">
      <x:alignment vertical="center"/>
    </x:xf>
    <x:xf numFmtId="202" fontId="3" fillId="10" borderId="1" xfId="0" applyNumberFormat="1" applyFont="1" applyFill="1" applyBorder="1" applyAlignment="1">
      <x:alignment horizontal="right" vertical="center"/>
    </x:xf>
    <x:xf numFmtId="202" fontId="3" fillId="10" borderId="2" xfId="0" applyNumberFormat="1" applyFont="1" applyFill="1" applyBorder="1" applyAlignment="1">
      <x:alignment horizontal="right" vertical="center"/>
    </x:xf>
    <x:xf numFmtId="202" fontId="3" fillId="10" borderId="28" xfId="0" applyNumberFormat="1" applyFont="1" applyFill="1" applyBorder="1" applyAlignment="1">
      <x:alignment horizontal="right" vertical="center"/>
    </x:xf>
    <x:xf numFmtId="0" fontId="0" fillId="8" borderId="19" xfId="0" applyNumberFormat="1" applyFont="1" applyFill="1" applyBorder="1" applyAlignment="1">
      <x:alignment horizontal="center" vertical="center"/>
    </x:xf>
    <x:xf numFmtId="0" fontId="0" fillId="8" borderId="22" xfId="0" applyNumberFormat="1" applyFont="1" applyFill="1" applyBorder="1" applyAlignment="1">
      <x:alignment horizontal="center" vertical="center"/>
    </x:xf>
    <x:xf numFmtId="0" fontId="0" fillId="8" borderId="25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4" borderId="0" xfId="0" applyNumberFormat="1" applyFont="1" applyFill="1" applyBorder="1" applyAlignment="1">
      <x:alignment horizontal="center"/>
    </x:xf>
    <x:xf numFmtId="200" fontId="1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1" fontId="0" fillId="10" borderId="0" xfId="0" applyNumberFormat="1" applyFont="1" applyFill="1" applyBorder="1" applyAlignment="1">
      <x:alignment horizontal="right"/>
    </x:xf>
    <x:xf numFmtId="201" fontId="3" fillId="3" borderId="0" xfId="0" applyNumberFormat="1" applyFont="1" applyFill="1" applyBorder="1" applyAlignment="1">
      <x:alignment horizontal="right"/>
    </x:xf>
    <x:xf numFmtId="201" fontId="4" fillId="3" borderId="0" xfId="0" applyNumberFormat="1" applyFont="1" applyFill="1" applyBorder="1" applyAlignment="1">
      <x:alignment horizontal="right"/>
    </x:xf>
    <x:xf numFmtId="201" fontId="3" fillId="9" borderId="0" xfId="0" applyNumberFormat="1" applyFont="1" applyFill="1" applyBorder="1" applyAlignment="1">
      <x:alignment horizontal="right"/>
    </x:xf>
    <x:xf numFmtId="203" fontId="1" fillId="4" borderId="1" xfId="0" applyNumberFormat="1" applyFont="1" applyFill="1" applyBorder="1" applyAlignment="1">
      <x:alignment horizontal="center"/>
    </x:xf>
    <x:xf numFmtId="201" fontId="4" fillId="3" borderId="2" xfId="0" applyNumberFormat="1" applyFont="1" applyFill="1" applyBorder="1" applyAlignment="1">
      <x:alignment horizontal="right"/>
    </x:xf>
    <x:xf numFmtId="201" fontId="3" fillId="9" borderId="2" xfId="0" applyNumberFormat="1" applyFont="1" applyFill="1" applyBorder="1" applyAlignment="1">
      <x:alignment horizontal="right"/>
    </x:xf>
    <x:xf numFmtId="203" fontId="1" fillId="4" borderId="1" xfId="0" applyNumberFormat="1" applyFont="1" applyFill="1" applyBorder="1" applyAlignment="1">
      <x:alignment horizontal="center" vertical="center"/>
    </x:xf>
    <x:xf numFmtId="201" fontId="4" fillId="3" borderId="2" xfId="0" applyNumberFormat="1" applyFont="1" applyFill="1" applyBorder="1" applyAlignment="1">
      <x:alignment horizontal="right" vertical="center"/>
    </x:xf>
    <x:xf numFmtId="201" fontId="3" fillId="9" borderId="2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32" xfId="0" applyNumberFormat="1" applyFont="1" applyFill="1" applyBorder="1"/>
    <x:xf numFmtId="0" fontId="2" fillId="11" borderId="33" xfId="0" applyNumberFormat="1" applyFont="1" applyFill="1" applyBorder="1"/>
    <x:xf numFmtId="0" fontId="2" fillId="11" borderId="34" xfId="0" applyNumberFormat="1" applyFont="1" applyFill="1" applyBorder="1"/>
    <x:xf numFmtId="0" fontId="2" fillId="11" borderId="35" xfId="0" applyNumberFormat="1" applyFont="1" applyFill="1" applyBorder="1"/>
    <x:xf numFmtId="0" fontId="2" fillId="11" borderId="36" xfId="0" applyNumberFormat="1" applyFont="1" applyFill="1" applyBorder="1"/>
    <x:xf numFmtId="0" fontId="2" fillId="11" borderId="37" xfId="0" applyNumberFormat="1" applyFont="1" applyFill="1" applyBorder="1"/>
    <x:xf numFmtId="201" fontId="2" fillId="11" borderId="32" xfId="0" applyNumberFormat="1" applyFont="1" applyFill="1" applyBorder="1"/>
    <x:xf numFmtId="201" fontId="2" fillId="11" borderId="33" xfId="0" applyNumberFormat="1" applyFont="1" applyFill="1" applyBorder="1"/>
    <x:xf numFmtId="201" fontId="2" fillId="11" borderId="34" xfId="0" applyNumberFormat="1" applyFont="1" applyFill="1" applyBorder="1"/>
    <x:xf numFmtId="201" fontId="2" fillId="11" borderId="35" xfId="0" applyNumberFormat="1" applyFont="1" applyFill="1" applyBorder="1"/>
    <x:xf numFmtId="201" fontId="2" fillId="11" borderId="36" xfId="0" applyNumberFormat="1" applyFont="1" applyFill="1" applyBorder="1"/>
    <x:xf numFmtId="201" fontId="2" fillId="11" borderId="37" xfId="0" applyNumberFormat="1" applyFont="1" applyFill="1" applyBorder="1"/>
    <x:xf numFmtId="201" fontId="2" fillId="11" borderId="32" xfId="0" applyNumberFormat="1" applyFont="1" applyFill="1" applyBorder="1" applyAlignment="1">
      <x:alignment horizontal="center"/>
    </x:xf>
    <x:xf numFmtId="201" fontId="2" fillId="11" borderId="33" xfId="0" applyNumberFormat="1" applyFont="1" applyFill="1" applyBorder="1" applyAlignment="1">
      <x:alignment horizontal="center"/>
    </x:xf>
    <x:xf numFmtId="201" fontId="2" fillId="11" borderId="34" xfId="0" applyNumberFormat="1" applyFont="1" applyFill="1" applyBorder="1" applyAlignment="1">
      <x:alignment horizontal="center"/>
    </x:xf>
    <x:xf numFmtId="201" fontId="2" fillId="11" borderId="35" xfId="0" applyNumberFormat="1" applyFont="1" applyFill="1" applyBorder="1" applyAlignment="1">
      <x:alignment horizontal="center"/>
    </x:xf>
    <x:xf numFmtId="201" fontId="2" fillId="11" borderId="36" xfId="0" applyNumberFormat="1" applyFont="1" applyFill="1" applyBorder="1" applyAlignment="1">
      <x:alignment horizontal="center"/>
    </x:xf>
    <x:xf numFmtId="201" fontId="2" fillId="11" borderId="37" xfId="0" applyNumberFormat="1" applyFont="1" applyFill="1" applyBorder="1" applyAlignment="1">
      <x:alignment horizontal="center"/>
    </x:xf>
    <x:xf numFmtId="201" fontId="2" fillId="11" borderId="32" xfId="0" applyNumberFormat="1" applyFont="1" applyFill="1" applyBorder="1" applyAlignment="1">
      <x:alignment horizontal="center" vertical="center"/>
    </x:xf>
    <x:xf numFmtId="201" fontId="2" fillId="11" borderId="33" xfId="0" applyNumberFormat="1" applyFont="1" applyFill="1" applyBorder="1" applyAlignment="1">
      <x:alignment horizontal="center" vertical="center"/>
    </x:xf>
    <x:xf numFmtId="201" fontId="2" fillId="11" borderId="34" xfId="0" applyNumberFormat="1" applyFont="1" applyFill="1" applyBorder="1" applyAlignment="1">
      <x:alignment horizontal="center" vertical="center"/>
    </x:xf>
    <x:xf numFmtId="201" fontId="2" fillId="11" borderId="35" xfId="0" applyNumberFormat="1" applyFont="1" applyFill="1" applyBorder="1" applyAlignment="1">
      <x:alignment horizontal="center" vertical="center"/>
    </x:xf>
    <x:xf numFmtId="201" fontId="2" fillId="11" borderId="36" xfId="0" applyNumberFormat="1" applyFont="1" applyFill="1" applyBorder="1" applyAlignment="1">
      <x:alignment horizontal="center" vertical="center"/>
    </x:xf>
    <x:xf numFmtId="201" fontId="2" fillId="11" borderId="37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2" fillId="11" borderId="38" xfId="0" applyNumberFormat="1" applyFont="1" applyFill="1" applyBorder="1"/>
    <x:xf numFmtId="0" fontId="2" fillId="11" borderId="39" xfId="0" applyNumberFormat="1" applyFont="1" applyFill="1" applyBorder="1"/>
    <x:xf numFmtId="0" fontId="2" fillId="11" borderId="40" xfId="0" applyNumberFormat="1" applyFont="1" applyFill="1" applyBorder="1"/>
    <x:xf numFmtId="0" fontId="2" fillId="11" borderId="41" xfId="0" applyNumberFormat="1" applyFont="1" applyFill="1" applyBorder="1"/>
    <x:xf numFmtId="0" fontId="2" fillId="11" borderId="42" xfId="0" applyNumberFormat="1" applyFont="1" applyFill="1" applyBorder="1"/>
    <x:xf numFmtId="0" fontId="2" fillId="11" borderId="43" xfId="0" applyNumberFormat="1" applyFont="1" applyFill="1" applyBorder="1"/>
    <x:xf numFmtId="201" fontId="2" fillId="11" borderId="38" xfId="0" applyNumberFormat="1" applyFont="1" applyFill="1" applyBorder="1"/>
    <x:xf numFmtId="201" fontId="2" fillId="11" borderId="39" xfId="0" applyNumberFormat="1" applyFont="1" applyFill="1" applyBorder="1"/>
    <x:xf numFmtId="201" fontId="2" fillId="11" borderId="40" xfId="0" applyNumberFormat="1" applyFont="1" applyFill="1" applyBorder="1"/>
    <x:xf numFmtId="201" fontId="2" fillId="11" borderId="41" xfId="0" applyNumberFormat="1" applyFont="1" applyFill="1" applyBorder="1"/>
    <x:xf numFmtId="201" fontId="2" fillId="11" borderId="42" xfId="0" applyNumberFormat="1" applyFont="1" applyFill="1" applyBorder="1"/>
    <x:xf numFmtId="201" fontId="2" fillId="11" borderId="43" xfId="0" applyNumberFormat="1" applyFont="1" applyFill="1" applyBorder="1"/>
    <x:xf numFmtId="201" fontId="2" fillId="11" borderId="38" xfId="0" applyNumberFormat="1" applyFont="1" applyFill="1" applyBorder="1" applyAlignment="1">
      <x:alignment horizontal="center"/>
    </x:xf>
    <x:xf numFmtId="201" fontId="2" fillId="11" borderId="39" xfId="0" applyNumberFormat="1" applyFont="1" applyFill="1" applyBorder="1" applyAlignment="1">
      <x:alignment horizontal="center"/>
    </x:xf>
    <x:xf numFmtId="201" fontId="2" fillId="11" borderId="40" xfId="0" applyNumberFormat="1" applyFont="1" applyFill="1" applyBorder="1" applyAlignment="1">
      <x:alignment horizontal="center"/>
    </x:xf>
    <x:xf numFmtId="201" fontId="2" fillId="11" borderId="41" xfId="0" applyNumberFormat="1" applyFont="1" applyFill="1" applyBorder="1" applyAlignment="1">
      <x:alignment horizontal="center"/>
    </x:xf>
    <x:xf numFmtId="201" fontId="2" fillId="11" borderId="42" xfId="0" applyNumberFormat="1" applyFont="1" applyFill="1" applyBorder="1" applyAlignment="1">
      <x:alignment horizontal="center"/>
    </x:xf>
    <x:xf numFmtId="201" fontId="2" fillId="11" borderId="43" xfId="0" applyNumberFormat="1" applyFont="1" applyFill="1" applyBorder="1" applyAlignment="1">
      <x:alignment horizontal="center"/>
    </x:xf>
    <x:xf numFmtId="201" fontId="2" fillId="11" borderId="38" xfId="0" applyNumberFormat="1" applyFont="1" applyFill="1" applyBorder="1" applyAlignment="1">
      <x:alignment horizontal="center" vertical="center"/>
    </x:xf>
    <x:xf numFmtId="201" fontId="2" fillId="11" borderId="39" xfId="0" applyNumberFormat="1" applyFont="1" applyFill="1" applyBorder="1" applyAlignment="1">
      <x:alignment horizontal="center" vertical="center"/>
    </x:xf>
    <x:xf numFmtId="201" fontId="2" fillId="11" borderId="40" xfId="0" applyNumberFormat="1" applyFont="1" applyFill="1" applyBorder="1" applyAlignment="1">
      <x:alignment horizontal="center" vertical="center"/>
    </x:xf>
    <x:xf numFmtId="201" fontId="2" fillId="11" borderId="41" xfId="0" applyNumberFormat="1" applyFont="1" applyFill="1" applyBorder="1" applyAlignment="1">
      <x:alignment horizontal="center" vertical="center"/>
    </x:xf>
    <x:xf numFmtId="201" fontId="2" fillId="11" borderId="42" xfId="0" applyNumberFormat="1" applyFont="1" applyFill="1" applyBorder="1" applyAlignment="1">
      <x:alignment horizontal="center" vertical="center"/>
    </x:xf>
    <x:xf numFmtId="201" fontId="2" fillId="11" borderId="43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vertical="center"/>
    </x:xf>
    <x:xf numFmtId="0" fontId="2" fillId="11" borderId="44" xfId="0" applyNumberFormat="1" applyFont="1" applyFill="1" applyBorder="1"/>
    <x:xf numFmtId="0" fontId="2" fillId="11" borderId="45" xfId="0" applyNumberFormat="1" applyFont="1" applyFill="1" applyBorder="1"/>
    <x:xf numFmtId="0" fontId="2" fillId="11" borderId="46" xfId="0" applyNumberFormat="1" applyFont="1" applyFill="1" applyBorder="1"/>
    <x:xf numFmtId="0" fontId="2" fillId="11" borderId="47" xfId="0" applyNumberFormat="1" applyFont="1" applyFill="1" applyBorder="1"/>
    <x:xf numFmtId="0" fontId="2" fillId="11" borderId="48" xfId="0" applyNumberFormat="1" applyFont="1" applyFill="1" applyBorder="1"/>
    <x:xf numFmtId="0" fontId="2" fillId="11" borderId="49" xfId="0" applyNumberFormat="1" applyFont="1" applyFill="1" applyBorder="1"/>
    <x:xf numFmtId="201" fontId="2" fillId="11" borderId="44" xfId="0" applyNumberFormat="1" applyFont="1" applyFill="1" applyBorder="1"/>
    <x:xf numFmtId="201" fontId="2" fillId="11" borderId="45" xfId="0" applyNumberFormat="1" applyFont="1" applyFill="1" applyBorder="1"/>
    <x:xf numFmtId="201" fontId="2" fillId="11" borderId="46" xfId="0" applyNumberFormat="1" applyFont="1" applyFill="1" applyBorder="1"/>
    <x:xf numFmtId="201" fontId="2" fillId="11" borderId="47" xfId="0" applyNumberFormat="1" applyFont="1" applyFill="1" applyBorder="1"/>
    <x:xf numFmtId="201" fontId="2" fillId="11" borderId="48" xfId="0" applyNumberFormat="1" applyFont="1" applyFill="1" applyBorder="1"/>
    <x:xf numFmtId="201" fontId="2" fillId="11" borderId="49" xfId="0" applyNumberFormat="1" applyFont="1" applyFill="1" applyBorder="1"/>
    <x:xf numFmtId="201" fontId="2" fillId="11" borderId="44" xfId="0" applyNumberFormat="1" applyFont="1" applyFill="1" applyBorder="1" applyAlignment="1">
      <x:alignment horizontal="center"/>
    </x:xf>
    <x:xf numFmtId="201" fontId="2" fillId="11" borderId="45" xfId="0" applyNumberFormat="1" applyFont="1" applyFill="1" applyBorder="1" applyAlignment="1">
      <x:alignment horizontal="center"/>
    </x:xf>
    <x:xf numFmtId="201" fontId="2" fillId="11" borderId="46" xfId="0" applyNumberFormat="1" applyFont="1" applyFill="1" applyBorder="1" applyAlignment="1">
      <x:alignment horizontal="center"/>
    </x:xf>
    <x:xf numFmtId="201" fontId="2" fillId="11" borderId="47" xfId="0" applyNumberFormat="1" applyFont="1" applyFill="1" applyBorder="1" applyAlignment="1">
      <x:alignment horizontal="center"/>
    </x:xf>
    <x:xf numFmtId="201" fontId="2" fillId="11" borderId="48" xfId="0" applyNumberFormat="1" applyFont="1" applyFill="1" applyBorder="1" applyAlignment="1">
      <x:alignment horizontal="center"/>
    </x:xf>
    <x:xf numFmtId="201" fontId="2" fillId="11" borderId="49" xfId="0" applyNumberFormat="1" applyFont="1" applyFill="1" applyBorder="1" applyAlignment="1">
      <x:alignment horizontal="center"/>
    </x:xf>
    <x:xf numFmtId="201" fontId="2" fillId="11" borderId="44" xfId="0" applyNumberFormat="1" applyFont="1" applyFill="1" applyBorder="1" applyAlignment="1">
      <x:alignment horizontal="center" vertical="center"/>
    </x:xf>
    <x:xf numFmtId="201" fontId="2" fillId="11" borderId="45" xfId="0" applyNumberFormat="1" applyFont="1" applyFill="1" applyBorder="1" applyAlignment="1">
      <x:alignment horizontal="center" vertical="center"/>
    </x:xf>
    <x:xf numFmtId="201" fontId="2" fillId="11" borderId="46" xfId="0" applyNumberFormat="1" applyFont="1" applyFill="1" applyBorder="1" applyAlignment="1">
      <x:alignment horizontal="center" vertical="center"/>
    </x:xf>
    <x:xf numFmtId="201" fontId="2" fillId="11" borderId="47" xfId="0" applyNumberFormat="1" applyFont="1" applyFill="1" applyBorder="1" applyAlignment="1">
      <x:alignment horizontal="center" vertical="center"/>
    </x:xf>
    <x:xf numFmtId="201" fontId="2" fillId="11" borderId="48" xfId="0" applyNumberFormat="1" applyFont="1" applyFill="1" applyBorder="1" applyAlignment="1">
      <x:alignment horizontal="center" vertical="center"/>
    </x:xf>
    <x:xf numFmtId="201" fontId="2" fillId="11" borderId="49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vertical="center"/>
    </x:xf>
    <x:xf numFmtId="0" fontId="2" fillId="11" borderId="50" xfId="0" applyNumberFormat="1" applyFont="1" applyFill="1" applyBorder="1"/>
    <x:xf numFmtId="0" fontId="2" fillId="11" borderId="51" xfId="0" applyNumberFormat="1" applyFont="1" applyFill="1" applyBorder="1"/>
    <x:xf numFmtId="0" fontId="2" fillId="11" borderId="52" xfId="0" applyNumberFormat="1" applyFont="1" applyFill="1" applyBorder="1"/>
    <x:xf numFmtId="0" fontId="2" fillId="11" borderId="53" xfId="0" applyNumberFormat="1" applyFont="1" applyFill="1" applyBorder="1"/>
    <x:xf numFmtId="0" fontId="2" fillId="11" borderId="54" xfId="0" applyNumberFormat="1" applyFont="1" applyFill="1" applyBorder="1"/>
    <x:xf numFmtId="0" fontId="2" fillId="11" borderId="55" xfId="0" applyNumberFormat="1" applyFont="1" applyFill="1" applyBorder="1"/>
    <x:xf numFmtId="201" fontId="2" fillId="11" borderId="50" xfId="0" applyNumberFormat="1" applyFont="1" applyFill="1" applyBorder="1"/>
    <x:xf numFmtId="201" fontId="2" fillId="11" borderId="51" xfId="0" applyNumberFormat="1" applyFont="1" applyFill="1" applyBorder="1"/>
    <x:xf numFmtId="201" fontId="2" fillId="11" borderId="52" xfId="0" applyNumberFormat="1" applyFont="1" applyFill="1" applyBorder="1"/>
    <x:xf numFmtId="201" fontId="2" fillId="11" borderId="53" xfId="0" applyNumberFormat="1" applyFont="1" applyFill="1" applyBorder="1"/>
    <x:xf numFmtId="201" fontId="2" fillId="11" borderId="54" xfId="0" applyNumberFormat="1" applyFont="1" applyFill="1" applyBorder="1"/>
    <x:xf numFmtId="201" fontId="2" fillId="11" borderId="55" xfId="0" applyNumberFormat="1" applyFont="1" applyFill="1" applyBorder="1"/>
    <x:xf numFmtId="201" fontId="2" fillId="11" borderId="50" xfId="0" applyNumberFormat="1" applyFont="1" applyFill="1" applyBorder="1" applyAlignment="1">
      <x:alignment horizontal="center"/>
    </x:xf>
    <x:xf numFmtId="201" fontId="2" fillId="11" borderId="51" xfId="0" applyNumberFormat="1" applyFont="1" applyFill="1" applyBorder="1" applyAlignment="1">
      <x:alignment horizontal="center"/>
    </x:xf>
    <x:xf numFmtId="201" fontId="2" fillId="11" borderId="52" xfId="0" applyNumberFormat="1" applyFont="1" applyFill="1" applyBorder="1" applyAlignment="1">
      <x:alignment horizontal="center"/>
    </x:xf>
    <x:xf numFmtId="201" fontId="2" fillId="11" borderId="53" xfId="0" applyNumberFormat="1" applyFont="1" applyFill="1" applyBorder="1" applyAlignment="1">
      <x:alignment horizontal="center"/>
    </x:xf>
    <x:xf numFmtId="201" fontId="2" fillId="11" borderId="54" xfId="0" applyNumberFormat="1" applyFont="1" applyFill="1" applyBorder="1" applyAlignment="1">
      <x:alignment horizontal="center"/>
    </x:xf>
    <x:xf numFmtId="201" fontId="2" fillId="11" borderId="55" xfId="0" applyNumberFormat="1" applyFont="1" applyFill="1" applyBorder="1" applyAlignment="1">
      <x:alignment horizontal="center"/>
    </x:xf>
    <x:xf numFmtId="201" fontId="2" fillId="11" borderId="50" xfId="0" applyNumberFormat="1" applyFont="1" applyFill="1" applyBorder="1" applyAlignment="1">
      <x:alignment horizontal="center" vertical="center"/>
    </x:xf>
    <x:xf numFmtId="201" fontId="2" fillId="11" borderId="51" xfId="0" applyNumberFormat="1" applyFont="1" applyFill="1" applyBorder="1" applyAlignment="1">
      <x:alignment horizontal="center" vertical="center"/>
    </x:xf>
    <x:xf numFmtId="201" fontId="2" fillId="11" borderId="52" xfId="0" applyNumberFormat="1" applyFont="1" applyFill="1" applyBorder="1" applyAlignment="1">
      <x:alignment horizontal="center" vertical="center"/>
    </x:xf>
    <x:xf numFmtId="201" fontId="2" fillId="11" borderId="53" xfId="0" applyNumberFormat="1" applyFont="1" applyFill="1" applyBorder="1" applyAlignment="1">
      <x:alignment horizontal="center" vertical="center"/>
    </x:xf>
    <x:xf numFmtId="201" fontId="2" fillId="11" borderId="54" xfId="0" applyNumberFormat="1" applyFont="1" applyFill="1" applyBorder="1" applyAlignment="1">
      <x:alignment horizontal="center" vertical="center"/>
    </x:xf>
    <x:xf numFmtId="201" fontId="2" fillId="11" borderId="55" xfId="0" applyNumberFormat="1" applyFont="1" applyFill="1" applyBorder="1" applyAlignment="1">
      <x:alignment horizontal="center" vertical="center"/>
    </x:xf>
    <x:xf numFmtId="200" fontId="3" fillId="10" borderId="0" xfId="0" applyNumberFormat="1" applyFont="1" applyFill="1" applyBorder="1"/>
    <x:xf numFmtId="200" fontId="3" fillId="10" borderId="0" xfId="0" applyNumberFormat="1" applyFont="1" applyFill="1" applyBorder="1" applyAlignment="1">
      <x:alignment horizontal="center"/>
    </x:xf>
    <x:xf numFmtId="200" fontId="3" fillId="10" borderId="1" xfId="0" applyNumberFormat="1" applyFont="1" applyFill="1" applyBorder="1" applyAlignment="1">
      <x:alignment horizontal="center"/>
    </x:xf>
    <x:xf numFmtId="200" fontId="3" fillId="10" borderId="2" xfId="0" applyNumberFormat="1" applyFont="1" applyFill="1" applyBorder="1" applyAlignment="1">
      <x:alignment horizontal="center"/>
    </x:xf>
    <x:xf numFmtId="200" fontId="3" fillId="10" borderId="3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b/>
        <x:color rgb="FFBD4937"/>
      </x:font>
      <x:fill>
        <x:patternFill patternType="solid">
          <x:bgColor rgb="FFFBE9E5"/>
        </x:patternFill>
      </x:fill>
    </x:dxf>
    <x:dxf>
      <x:font>
        <x:b/>
        <x:color rgb="FF8C550D"/>
      </x:font>
      <x:fill>
        <x:patternFill patternType="solid">
          <x:bgColor rgb="FFFFF0CF"/>
        </x:patternFill>
      </x:fill>
    </x:dxf>
    <x:dxf>
      <x:font>
        <x:b/>
        <x:color rgb="FFBD4937"/>
      </x:font>
      <x:fill>
        <x:patternFill patternType="solid">
          <x:bgColor rgb="FFFBE9E5"/>
        </x:patternFill>
      </x:fill>
    </x:dxf>
    <x:dxf>
      <x:font>
        <x:b/>
        <x:color rgb="FF8C550D"/>
      </x:font>
      <x:fill>
        <x:patternFill patternType="solid">
          <x:bgColor rgb="FFFFF0CF"/>
        </x:patternFill>
      </x:fill>
    </x:dxf>
    <x:dxf>
      <x:font>
        <x:b/>
        <x:color rgb="FFBD4937"/>
      </x:font>
      <x:fill>
        <x:patternFill patternType="solid">
          <x:bgColor rgb="FFFBE9E5"/>
        </x:patternFill>
      </x:fill>
    </x:dxf>
    <x:dxf>
      <x:font>
        <x:b/>
        <x:color rgb="FF8C550D"/>
      </x:font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432f0605a24d31" /><Relationship Type="http://schemas.openxmlformats.org/officeDocument/2006/relationships/theme" Target="/xl/theme/theme1.xml" Id="Raebce52579df4ab0" /><Relationship Type="http://schemas.openxmlformats.org/officeDocument/2006/relationships/sharedStrings" Target="/xl/sharedStrings.xml" Id="Raf1bcfad9e3b45d9" /><Relationship Type="http://schemas.openxmlformats.org/officeDocument/2006/relationships/worksheet" Target="/xl/worksheets/sheet1.xml" Id="R566ed08349a34cb7" /><Relationship Type="http://schemas.openxmlformats.org/officeDocument/2006/relationships/worksheet" Target="/xl/worksheets/sheet2.xml" Id="Rbf5d85fa603c4914" /><Relationship Type="http://schemas.openxmlformats.org/officeDocument/2006/relationships/worksheet" Target="/xl/worksheets/sheet3.xml" Id="R9cced53e5e414cc5" /><Relationship Type="http://schemas.openxmlformats.org/officeDocument/2006/relationships/worksheet" Target="/xl/worksheets/sheet4.xml" Id="R395b4e2dc0284fc8" /><Relationship Type="http://schemas.openxmlformats.org/officeDocument/2006/relationships/worksheet" Target="/xl/worksheets/sheet5.xml" Id="R8fc40f57552f4e80" /><Relationship Type="http://schemas.openxmlformats.org/officeDocument/2006/relationships/worksheet" Target="/xl/worksheets/sheet6.xml" Id="R7d8bb9c0703b4c5f" /><Relationship Type="http://schemas.openxmlformats.org/officeDocument/2006/relationships/worksheet" Target="/xl/worksheets/sheet7.xml" Id="Rb5becbd690824a25" /><Relationship Type="http://schemas.openxmlformats.org/officeDocument/2006/relationships/worksheet" Target="/xl/worksheets/sheet8.xml" Id="R7c321c23361249fb" /><Relationship Type="http://schemas.openxmlformats.org/officeDocument/2006/relationships/worksheet" Target="/xl/worksheets/sheet9.xml" Id="Rfc31c2f998434db0" /><Relationship Type="http://schemas.openxmlformats.org/officeDocument/2006/relationships/worksheet" Target="/xl/worksheets/sheet10.xml" Id="R1d016a9f5f7249ac" /><Relationship Type="http://schemas.openxmlformats.org/officeDocument/2006/relationships/worksheet" Target="/xl/worksheets/sheet11.xml" Id="Rbbbf73df669a4f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5c634e95b84c7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Доход, план и свободный остаток — 24 месяца, ₽</a:t>
            </a:r>
          </a:p>
        </c:rich>
      </c:tx>
    </c:title>
    <c:plotArea>
      <c:lineChart>
        <c:grouping val="standard"/>
        <c:ser>
          <c:idx val="0"/>
          <c:order val="0"/>
          <c:tx>
            <c:v>Доход</c:v>
          </c:tx>
          <c:marker>
            <c:symbol val="none"/>
          </c:marker>
          <c:cat>
            <c:strRef>
              <c:f>'Дашборд'!$A$21:$A$44</c:f>
              <c:strCache>
                <c:ptCount val="0"/>
              </c:strCache>
            </c:strRef>
          </c:cat>
          <c:val>
            <c:numRef>
              <c:f>'Дашборд'!$B$21:$B$44</c:f>
              <c:numCache>
                <c:formatCode>#,##0 "₽";[Red]-#,##0 "₽"</c:formatCode>
                <c:ptCount val="0"/>
              </c:numCache>
            </c:numRef>
          </c:val>
        </c:ser>
        <c:ser>
          <c:idx val="1"/>
          <c:order val="1"/>
          <c:tx>
            <c:v>Всего запланировано</c:v>
          </c:tx>
          <c:marker>
            <c:symbol val="none"/>
          </c:marker>
          <c:cat>
            <c:strRef>
              <c:f>'Дашборд'!$A$21:$A$44</c:f>
              <c:strCache>
                <c:ptCount val="0"/>
              </c:strCache>
            </c:strRef>
          </c:cat>
          <c:val>
            <c:numRef>
              <c:f>'Дашборд'!$C$21:$C$44</c:f>
              <c:numCache>
                <c:formatCode>#,##0 "₽";[Red]-#,##0 "₽"</c:formatCode>
                <c:ptCount val="0"/>
              </c:numCache>
            </c:numRef>
          </c:val>
        </c:ser>
        <c:ser>
          <c:idx val="2"/>
          <c:order val="2"/>
          <c:tx>
            <c:v>Свободно</c:v>
          </c:tx>
          <c:marker>
            <c:symbol val="none"/>
          </c:marker>
          <c:cat>
            <c:strRef>
              <c:f>'Дашборд'!$A$21:$A$44</c:f>
              <c:strCache>
                <c:ptCount val="0"/>
              </c:strCache>
            </c:strRef>
          </c:cat>
          <c:val>
            <c:numRef>
              <c:f>'Дашборд'!$D$21:$D$44</c:f>
              <c:numCache>
                <c:formatCode>#,##0 "₽";[Red]-#,##0 "₽"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₽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5c634e95b84c7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nnualCommitments" displayName="AnnualCommitments" ref="A5:L25" headerRowCount="1" totalsRowCount="0" totalsRowShown="0">
  <x:tableColumns count="12">
    <x:tableColumn id="1" name="Название"/>
    <x:tableColumn id="2" name="Категория"/>
    <x:tableColumn id="3" name="Повтор"/>
    <x:tableColumn id="4" name="Ближайшая дата"/>
    <x:tableColumn id="5" name="Сумма"/>
    <x:tableColumn id="6" name="Уже накоплено"/>
    <x:tableColumn id="7" name="Мес. до срока"/>
    <x:tableColumn id="8" name="Откладывать / мес"/>
    <x:tableColumn id="9" name="Статус"/>
    <x:tableColumn id="10" name="Активно"/>
    <x:tableColumn id="11" name="Месяц оплаты"/>
    <x:tableColumn id="12" name="После первой оплаты / ме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Expenses" displayName="MonthlyExpenses" ref="A5:F25" headerRowCount="1" totalsRowCount="0" totalsRowShown="0">
  <x:tableColumns count="6">
    <x:tableColumn id="1" name="Название"/>
    <x:tableColumn id="2" name="Категория"/>
    <x:tableColumn id="3" name="Сумма / мес"/>
    <x:tableColumn id="4" name="День оплаты"/>
    <x:tableColumn id="5" name="Активно"/>
    <x:tableColumn id="6" name="Счёт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asonalExpenses" displayName="SeasonalExpenses" ref="A5:Q25" headerRowCount="1" totalsRowCount="0" totalsRowShown="0">
  <x:tableColumns count="17">
    <x:tableColumn id="1" name="Название"/>
    <x:tableColumn id="2" name="Категория"/>
    <x:tableColumn id="3" name="Сумма / активный мес"/>
    <x:tableColumn id="4" name="День"/>
    <x:tableColumn id="5" name="Янв"/>
    <x:tableColumn id="6" name="Фев"/>
    <x:tableColumn id="7" name="Мар"/>
    <x:tableColumn id="8" name="Апр"/>
    <x:tableColumn id="9" name="Май"/>
    <x:tableColumn id="10" name="Июн"/>
    <x:tableColumn id="11" name="Июл"/>
    <x:tableColumn id="12" name="Авг"/>
    <x:tableColumn id="13" name="Сен"/>
    <x:tableColumn id="14" name="Окт"/>
    <x:tableColumn id="15" name="Ноя"/>
    <x:tableColumn id="16" name="Дек"/>
    <x:tableColumn id="17" name="Активно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FlexibleBudgets" displayName="FlexibleBudgets" ref="A5:H25" headerRowCount="1" totalsRowCount="0" totalsRowShown="0">
  <x:tableColumns count="8">
    <x:tableColumn id="1" name="Категория"/>
    <x:tableColumn id="2" name="Группа"/>
    <x:tableColumn id="3" name="Лимит / мес"/>
    <x:tableColumn id="4" name="Потрачено"/>
    <x:tableColumn id="5" name="Осталось"/>
    <x:tableColumn id="6" name="Исполнение"/>
    <x:tableColumn id="7" name="Статус"/>
    <x:tableColumn id="8" name="Активно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Operations" displayName="Operations" ref="A5:F505" headerRowCount="1" totalsRowCount="0" totalsRowShown="0">
  <x:tableColumns count="6">
    <x:tableColumn id="1" name="Дата"/>
    <x:tableColumn id="2" name="Тип"/>
    <x:tableColumn id="3" name="Категория"/>
    <x:tableColumn id="4" name="Сумма"/>
    <x:tableColumn id="5" name="Счёт"/>
    <x:tableColumn id="6" name="Комментари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oals" displayName="Goals" ref="A5:F15" headerRowCount="1" totalsRowCount="0" totalsRowShown="0">
  <x:tableColumns count="6">
    <x:tableColumn id="1" name="Цель"/>
    <x:tableColumn id="2" name="Целевая сумма"/>
    <x:tableColumn id="3" name="Уже накоплено"/>
    <x:tableColumn id="4" name="В месяц"/>
    <x:tableColumn id="5" name="Прогресс"/>
    <x:tableColumn id="6" name="Активн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7a366f3c9854b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d1bf4035604e49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4dac8fd920b240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0b5e0e37bbe54b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cb215b7e726f40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25054f922ed04e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aa61d7ef5c1540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64" hidden="0" customWidth="1"/>
    <x:col min="3" max="3" width="24" hidden="0" customWidth="1"/>
    <x:col min="4" max="4" width="4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4" t="str">
        <x:v>Семейный план — быстрый старт</x:v>
      </x:c>
      <x:c r="B1" s="4" t="str">
        <x:v>Семейный план — быстрый старт</x:v>
      </x:c>
      <x:c r="C1" s="4" t="str">
        <x:v>Семейный план — быстрый старт</x:v>
      </x:c>
      <x:c r="D1" s="4" t="str">
        <x:v>Семейный план — быстрый старт</x:v>
      </x:c>
      <x:c r="E1" s="4" t="str">
        <x:v>Семейный план — быстрый старт</x:v>
      </x:c>
      <x:c r="F1" s="4" t="str">
        <x:v>Семейный план — быстрый старт</x:v>
      </x:c>
      <x:c r="G1" s="4" t="str">
        <x:v>Семейный план — быстрый старт</x:v>
      </x:c>
      <x:c r="H1" s="4" t="str">
        <x:v>Семейный план — быстрый старт</x:v>
      </x:c>
    </x:row>
    <x:row r="3" ht="38" customHeight="1">
      <x:c r="A3" s="8" t="str">
        <x:v>Горизонт — 24 месяца. Жёлтые ячейки можно менять; голубые считаются автоматически.</x:v>
      </x:c>
      <x:c r="B3" s="8"/>
      <x:c r="C3" s="8"/>
      <x:c r="D3" s="8"/>
      <x:c r="E3" s="8"/>
      <x:c r="F3" s="8"/>
      <x:c r="G3" s="8"/>
      <x:c r="H3" s="8"/>
    </x:row>
    <x:row r="5" ht="25" customHeight="1">
      <x:c r="A5" s="12" t="str">
        <x:v>Пять понятных шагов</x:v>
      </x:c>
      <x:c r="B5" s="12" t="str">
        <x:v>Пять понятных шагов</x:v>
      </x:c>
      <x:c r="C5" s="12" t="str">
        <x:v>Пять понятных шагов</x:v>
      </x:c>
      <x:c r="D5" s="12" t="str">
        <x:v>Пять понятных шагов</x:v>
      </x:c>
      <x:c r="E5" s="12" t="str">
        <x:v>Пять понятных шагов</x:v>
      </x:c>
      <x:c r="F5" s="12" t="str">
        <x:v>Пять понятных шагов</x:v>
      </x:c>
      <x:c r="G5" s="12" t="str">
        <x:v>Пять понятных шагов</x:v>
      </x:c>
      <x:c r="H5" s="12" t="str">
        <x:v>Пять понятных шагов</x:v>
      </x:c>
    </x:row>
    <x:row r="6" ht="42" customHeight="1">
      <x:c r="A6" s="14" t="str">
        <x:v>1</x:v>
      </x:c>
      <x:c r="B6" s="21" t="str">
        <x:v>В «Настройках» укажите первый месяц, доход и горизонт 12 или 24 месяца.</x:v>
      </x:c>
    </x:row>
    <x:row r="7" ht="42" customHeight="1">
      <x:c r="A7" s="14" t="str">
        <x:v>2</x:v>
      </x:c>
      <x:c r="B7" s="22" t="str">
        <x:v>В «Крупных и ежегодных» внесите страховку, дачу, лагерь и другие платежи, к которым нужно копить.</x:v>
      </x:c>
    </x:row>
    <x:row r="8" ht="42" customHeight="1">
      <x:c r="A8" s="14" t="str">
        <x:v>3</x:v>
      </x:c>
      <x:c r="B8" s="22" t="str">
        <x:v>Разнесите постоянные платежи: каждый месяц — в «Ежемесячные», учебный сезон — в «Сезонные».</x:v>
      </x:c>
    </x:row>
    <x:row r="9" ht="42" customHeight="1">
      <x:c r="A9" s="14" t="str">
        <x:v>4</x:v>
      </x:c>
      <x:c r="B9" s="22" t="str">
        <x:v>В «Повседневных» задайте месячные лимиты на продукты, транспорт и мелкие покупки.</x:v>
      </x:c>
    </x:row>
    <x:row r="10" ht="42" customHeight="1">
      <x:c r="A10" s="14" t="str">
        <x:v>5</x:v>
      </x:c>
      <x:c r="B10" s="23" t="str">
        <x:v>Фактические покупки заносите в «Операции». Итог смотрите на «Дашборде» и в горизонте.</x:v>
      </x:c>
    </x:row>
    <x:row r="12" ht="25" customHeight="1">
      <x:c r="A12" s="27" t="str">
        <x:v>Что куда относить</x:v>
      </x:c>
      <x:c r="B12" s="27" t="str">
        <x:v>Что куда относить</x:v>
      </x:c>
      <x:c r="C12" s="27" t="str">
        <x:v>Что куда относить</x:v>
      </x:c>
      <x:c r="D12" s="27" t="str">
        <x:v>Что куда относить</x:v>
      </x:c>
      <x:c r="E12" s="27" t="str">
        <x:v>Что куда относить</x:v>
      </x:c>
      <x:c r="F12" s="27" t="str">
        <x:v>Что куда относить</x:v>
      </x:c>
      <x:c r="G12" s="27" t="str">
        <x:v>Что куда относить</x:v>
      </x:c>
      <x:c r="H12" s="27" t="str">
        <x:v>Что куда относить</x:v>
      </x:c>
    </x:row>
    <x:row r="13" ht="34" customHeight="1">
      <x:c r="A13" s="37" t="str">
        <x:v>Слой</x:v>
      </x:c>
      <x:c r="B13" s="38" t="str">
        <x:v>Пример</x:v>
      </x:c>
      <x:c r="C13" s="38" t="str">
        <x:v>Как задаётся</x:v>
      </x:c>
      <x:c r="D13" s="39" t="str">
        <x:v>Зачем</x:v>
      </x:c>
    </x:row>
    <x:row r="14">
      <x:c r="A14" s="43" t="str">
        <x:v>Крупные</x:v>
      </x:c>
      <x:c r="B14" s="40" t="str">
        <x:v>ОСАГО, дача, летний лагерь</x:v>
      </x:c>
      <x:c r="C14" s="40" t="str">
        <x:v>Дата, сумма, уже накоплено</x:v>
      </x:c>
      <x:c r="D14" s="40" t="str">
        <x:v>Понять, сколько откладывать каждый месяц</x:v>
      </x:c>
    </x:row>
    <x:row r="15">
      <x:c r="A15" s="44" t="str">
        <x:v>Ежемесячные</x:v>
      </x:c>
      <x:c r="B15" s="41" t="str">
        <x:v>Ипотека, ЖКХ, интернет</x:v>
      </x:c>
      <x:c r="C15" s="41" t="str">
        <x:v>Сумма и день оплаты</x:v>
      </x:c>
      <x:c r="D15" s="41" t="str">
        <x:v>Не забыть обязательную регулярку</x:v>
      </x:c>
    </x:row>
    <x:row r="16">
      <x:c r="A16" s="44" t="str">
        <x:v>Сезонные</x:v>
      </x:c>
      <x:c r="B16" s="41" t="str">
        <x:v>Обучение сентябрь–май, секции</x:v>
      </x:c>
      <x:c r="C16" s="41" t="str">
        <x:v>Отметки по месяцам</x:v>
      </x:c>
      <x:c r="D16" s="41" t="str">
        <x:v>Не завышать летние месяцы</x:v>
      </x:c>
    </x:row>
    <x:row r="17">
      <x:c r="A17" s="45" t="str">
        <x:v>Повседневные</x:v>
      </x:c>
      <x:c r="B17" s="42" t="str">
        <x:v>Продукты, транспорт, мелкие покупки</x:v>
      </x:c>
      <x:c r="C17" s="42" t="str">
        <x:v>Лимит на месяц</x:v>
      </x:c>
      <x:c r="D17" s="42" t="str">
        <x:v>Сразу видеть остаток и перелимит</x:v>
      </x:c>
    </x:row>
    <x:row r="19" ht="38" customHeight="1">
      <x:c r="A19" s="49" t="str">
        <x:v>Важно: крупный платёж не вычитается дважды. В плане учитывается ежемесячное пополнение резерва, а сумма в месяце оплаты показывается справочно как платёж из резерва.</x:v>
      </x:c>
      <x:c r="B19" s="49"/>
      <x:c r="C19" s="49"/>
      <x:c r="D19" s="49"/>
      <x:c r="E19" s="49"/>
      <x:c r="F19" s="49"/>
      <x:c r="G19" s="49"/>
      <x:c r="H19" s="49"/>
    </x:row>
    <x:row r="20" ht="38" customHeight="1">
      <x:c r="A20" s="49" t="str">
        <x:v>Категория «Дети» — только группа. Обучение может быть сезонным, лагерь — разовым или ежегодным, секции — по выбранным месяцам.</x:v>
      </x:c>
      <x:c r="B20" s="49"/>
      <x:c r="C20" s="49"/>
      <x:c r="D20" s="49"/>
      <x:c r="E20" s="49"/>
      <x:c r="F20" s="49"/>
      <x:c r="G20" s="49"/>
      <x:c r="H20" s="49"/>
    </x:row>
    <x:row r="21" ht="38" customHeight="1">
      <x:c r="A21" s="49" t="str">
        <x:v>Файл не зашифрован. Храните его в защищённой папке и делайте резервную копию.</x:v>
      </x:c>
      <x:c r="B21" s="49"/>
      <x:c r="C21" s="49"/>
      <x:c r="D21" s="49"/>
      <x:c r="E21" s="49"/>
      <x:c r="F21" s="49"/>
      <x:c r="G21" s="49"/>
      <x:c r="H21" s="49"/>
    </x:row>
  </x:sheetData>
  <x:mergeCells>
    <x:mergeCell ref="A1:H1"/>
    <x:mergeCell ref="A3:H3"/>
    <x:mergeCell ref="A5:H5"/>
    <x:mergeCell ref="A12:H12"/>
    <x:mergeCell ref="A19:H19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1" hidden="0" customWidth="1"/>
    <x:col min="4" max="4" width="20" hidden="0" customWidth="1"/>
    <x:col min="5" max="5" width="24" hidden="0" customWidth="1"/>
    <x:col min="6" max="6" width="18" hidden="0" customWidth="1"/>
    <x:col min="7" max="7" width="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8" customHeight="1">
      <x:c r="A1" s="4" t="str">
        <x:v>Семейный бюджет — старт 2026-07 и будущие платежи</x:v>
      </x:c>
      <x:c r="B1" s="4" t="str">
        <x:v>Семейный бюджет — старт 2026-07 и будущие платежи</x:v>
      </x:c>
      <x:c r="C1" s="4" t="str">
        <x:v>Семейный бюджет — старт 2026-07 и будущие платежи</x:v>
      </x:c>
      <x:c r="D1" s="4" t="str">
        <x:v>Семейный бюджет — старт 2026-07 и будущие платежи</x:v>
      </x:c>
      <x:c r="E1" s="4" t="str">
        <x:v>Семейный бюджет — старт 2026-07 и будущие платежи</x:v>
      </x:c>
      <x:c r="F1" s="4" t="str">
        <x:v>Семейный бюджет — старт 2026-07 и будущие платежи</x:v>
      </x:c>
      <x:c r="G1" s="4" t="str">
        <x:v>Семейный бюджет — старт 2026-07 и будущие платежи</x:v>
      </x:c>
      <x:c r="H1" s="4" t="str">
        <x:v>Семейный бюджет — старт 2026-07 и будущие платежи</x:v>
      </x:c>
      <x:c r="I1" s="4" t="str">
        <x:v>Семейный бюджет — старт 2026-07 и будущие платежи</x:v>
      </x:c>
      <x:c r="J1" s="4" t="str">
        <x:v>Семейный бюджет — старт 2026-07 и будущие платежи</x:v>
      </x:c>
      <x:c r="K1" s="4" t="str">
        <x:v>Семейный бюджет — старт 2026-07 и будущие платежи</x:v>
      </x:c>
      <x:c r="L1" s="4" t="str">
        <x:v>Семейный бюджет — старт 2026-07 и будущие платежи</x:v>
      </x:c>
      <x:c r="M1" s="4" t="str">
        <x:v>Семейный бюджет — старт 2026-07 и будущие платежи</x:v>
      </x:c>
      <x:c r="N1" s="4" t="str">
        <x:v>Семейный бюджет — старт 2026-07 и будущие платежи</x:v>
      </x:c>
    </x:row>
    <x:row r="3">
      <x:c r="A3" s="231" t="str">
        <x:v>Можно на повседневное</x:v>
      </x:c>
      <x:c r="B3" s="231" t="str">
        <x:v>Можно на повседневное</x:v>
      </x:c>
      <x:c r="C3" s="231" t="str">
        <x:v>Можно на повседневное</x:v>
      </x:c>
      <x:c r="E3" s="285" t="str">
        <x:v>Платежи по расписанию</x:v>
      </x:c>
      <x:c r="F3" s="285" t="str">
        <x:v>Платежи по расписанию</x:v>
      </x:c>
      <x:c r="G3" s="285" t="str">
        <x:v>Платежи по расписанию</x:v>
      </x:c>
    </x:row>
    <x:row r="4">
      <x:c r="A4" s="252" t="n">
        <x:f>SUM(FlexibleBudgets[Лимит / мес])-SUM(FlexibleBudgets[Потрачено])</x:f>
        <x:v>27000</x:v>
      </x:c>
      <x:c r="B4" s="253"/>
      <x:c r="C4" s="254"/>
      <x:c r="E4" s="304" t="n">
        <x:f>'Горизонт 24 мес'!B6+'Горизонт 24 мес'!B7</x:f>
        <x:v>53000</x:v>
      </x:c>
      <x:c r="F4" s="305"/>
      <x:c r="G4" s="306"/>
    </x:row>
    <x:row r="5">
      <x:c r="A5" s="255"/>
      <x:c r="B5" s="256"/>
      <x:c r="C5" s="257"/>
      <x:c r="E5" s="307"/>
      <x:c r="F5" s="308"/>
      <x:c r="G5" s="309"/>
    </x:row>
    <x:row r="7">
      <x:c r="A7" s="258" t="str">
        <x:v>Отложить к срокам</x:v>
      </x:c>
      <x:c r="B7" s="258" t="str">
        <x:v>Отложить к срокам</x:v>
      </x:c>
      <x:c r="C7" s="258" t="str">
        <x:v>Отложить к срокам</x:v>
      </x:c>
      <x:c r="E7" s="312" t="str">
        <x:v>Свободно после плана</x:v>
      </x:c>
      <x:c r="F7" s="312" t="str">
        <x:v>Свободно после плана</x:v>
      </x:c>
      <x:c r="G7" s="312" t="str">
        <x:v>Свободно после плана</x:v>
      </x:c>
    </x:row>
    <x:row r="8">
      <x:c r="A8" s="277" t="n">
        <x:f>'Горизонт 24 мес'!B9</x:f>
        <x:v>19809</x:v>
      </x:c>
      <x:c r="B8" s="278"/>
      <x:c r="C8" s="279"/>
      <x:c r="E8" s="331" t="n">
        <x:f>'Горизонт 24 мес'!B12</x:f>
        <x:v>44191</x:v>
      </x:c>
      <x:c r="F8" s="332"/>
      <x:c r="G8" s="333"/>
    </x:row>
    <x:row r="9">
      <x:c r="A9" s="280"/>
      <x:c r="B9" s="281"/>
      <x:c r="C9" s="282"/>
      <x:c r="E9" s="334"/>
      <x:c r="F9" s="335"/>
      <x:c r="G9" s="336"/>
    </x:row>
    <x:row r="11" ht="25" customHeight="1">
      <x:c r="A11" s="4" t="str">
        <x:v>Ближайшие крупные платежи</x:v>
      </x:c>
      <x:c r="B11" s="4" t="str">
        <x:v>Ближайшие крупные платежи</x:v>
      </x:c>
      <x:c r="C11" s="4" t="str">
        <x:v>Ближайшие крупные платежи</x:v>
      </x:c>
      <x:c r="D11" s="4" t="str">
        <x:v>Ближайшие крупные платежи</x:v>
      </x:c>
      <x:c r="E11" s="4" t="str">
        <x:v>Ближайшие крупные платежи</x:v>
      </x:c>
      <x:c r="F11" s="4" t="str">
        <x:v>Ближайшие крупные платежи</x:v>
      </x:c>
    </x:row>
    <x:row r="12" ht="34" customHeight="1">
      <x:c r="A12" s="37" t="str">
        <x:v>Название</x:v>
      </x:c>
      <x:c r="B12" s="38" t="str">
        <x:v>Дата</x:v>
      </x:c>
      <x:c r="C12" s="38" t="str">
        <x:v>Сумма</x:v>
      </x:c>
      <x:c r="D12" s="38" t="str">
        <x:v>Уже накоплено</x:v>
      </x:c>
      <x:c r="E12" s="38" t="str">
        <x:v>Откладывать / мес</x:v>
      </x:c>
      <x:c r="F12" s="39" t="str">
        <x:v>Статус</x:v>
      </x:c>
    </x:row>
    <x:row r="13">
      <x:c r="A13" s="76" t="str">
        <x:f>'Крупные и ежегодные'!A6</x:f>
        <x:v>Страхование автомобиля</x:v>
      </x:c>
      <x:c r="B13" s="339" t="n">
        <x:f>'Крупные и ежегодные'!D6</x:f>
        <x:v>46402</x:v>
      </x:c>
      <x:c r="C13" s="90" t="n">
        <x:f>'Крупные и ежегодные'!E6</x:f>
        <x:v>72000</x:v>
      </x:c>
      <x:c r="D13" s="90" t="n">
        <x:f>'Крупные и ежегодные'!F6</x:f>
        <x:v>0</x:v>
      </x:c>
      <x:c r="E13" s="90" t="n">
        <x:f>'Крупные и ежегодные'!H6</x:f>
        <x:v>10286</x:v>
      </x:c>
      <x:c r="F13" s="76" t="str">
        <x:f>'Крупные и ежегодные'!I6</x:f>
        <x:v>По плану</x:v>
      </x:c>
    </x:row>
    <x:row r="14">
      <x:c r="A14" s="76" t="str">
        <x:f>'Крупные и ежегодные'!A7</x:f>
        <x:v>Платёж за загородный дом</x:v>
      </x:c>
      <x:c r="B14" s="340" t="n">
        <x:f>'Крупные и ежегодные'!D7</x:f>
        <x:v>46508</x:v>
      </x:c>
      <x:c r="C14" s="90" t="n">
        <x:f>'Крупные и ежегодные'!E7</x:f>
        <x:v>36000</x:v>
      </x:c>
      <x:c r="D14" s="90" t="n">
        <x:f>'Крупные и ежегодные'!F7</x:f>
        <x:v>0</x:v>
      </x:c>
      <x:c r="E14" s="90" t="n">
        <x:f>'Крупные и ежегодные'!H7</x:f>
        <x:v>3273</x:v>
      </x:c>
      <x:c r="F14" s="76" t="str">
        <x:f>'Крупные и ежегодные'!I7</x:f>
        <x:v>По плану</x:v>
      </x:c>
    </x:row>
    <x:row r="15">
      <x:c r="A15" s="76" t="str">
        <x:f>'Крупные и ежегодные'!A8</x:f>
        <x:v>Летний лагерь</x:v>
      </x:c>
      <x:c r="B15" s="341" t="n">
        <x:f>'Крупные и ежегодные'!D8</x:f>
        <x:v>46553</x:v>
      </x:c>
      <x:c r="C15" s="90" t="n">
        <x:f>'Крупные и ежегодные'!E8</x:f>
        <x:v>90000</x:v>
      </x:c>
      <x:c r="D15" s="90" t="n">
        <x:f>'Крупные и ежегодные'!F8</x:f>
        <x:v>15000</x:v>
      </x:c>
      <x:c r="E15" s="90" t="n">
        <x:f>'Крупные и ежегодные'!H8</x:f>
        <x:v>6250</x:v>
      </x:c>
      <x:c r="F15" s="76" t="str">
        <x:f>'Крупные и ежегодные'!I8</x:f>
        <x:v>По плану</x:v>
      </x:c>
    </x:row>
    <x:row r="20" ht="34" customHeight="1">
      <x:c r="A20" s="37" t="str">
        <x:v>Месяц</x:v>
      </x:c>
      <x:c r="B20" s="38" t="str">
        <x:v>Доход</x:v>
      </x:c>
      <x:c r="C20" s="38" t="str">
        <x:v>Всего запланировано</x:v>
      </x:c>
      <x:c r="D20" s="39" t="str">
        <x:v>Свободно</x:v>
      </x:c>
    </x:row>
    <x:row r="21">
      <x:c r="A21" s="76" t="str">
        <x:f>TEXT('Горизонт 24 мес'!B4,"mmm yy")</x:f>
        <x:v>Jul 26</x:v>
      </x:c>
      <x:c r="B21" s="90" t="n">
        <x:f>'Горизонт 24 мес'!B5</x:f>
        <x:v>180000</x:v>
      </x:c>
      <x:c r="C21" s="90" t="n">
        <x:f>'Горизонт 24 мес'!B11</x:f>
        <x:v>135809</x:v>
      </x:c>
      <x:c r="D21" s="90" t="n">
        <x:f>'Горизонт 24 мес'!B12</x:f>
        <x:v>44191</x:v>
      </x:c>
    </x:row>
    <x:row r="22">
      <x:c r="A22" s="76" t="str">
        <x:f>TEXT('Горизонт 24 мес'!C4,"mmm yy")</x:f>
        <x:v>Aug 26</x:v>
      </x:c>
      <x:c r="B22" s="90" t="n">
        <x:f>'Горизонт 24 мес'!C5</x:f>
        <x:v>180000</x:v>
      </x:c>
      <x:c r="C22" s="90" t="n">
        <x:f>'Горизонт 24 мес'!C11</x:f>
        <x:v>135809</x:v>
      </x:c>
      <x:c r="D22" s="90" t="n">
        <x:f>'Горизонт 24 мес'!C12</x:f>
        <x:v>44191</x:v>
      </x:c>
    </x:row>
    <x:row r="23">
      <x:c r="A23" s="76" t="str">
        <x:f>TEXT('Горизонт 24 мес'!D4,"mmm yy")</x:f>
        <x:v>Sep 26</x:v>
      </x:c>
      <x:c r="B23" s="90" t="n">
        <x:f>'Горизонт 24 мес'!D5</x:f>
        <x:v>180000</x:v>
      </x:c>
      <x:c r="C23" s="90" t="n">
        <x:f>'Горизонт 24 мес'!D11</x:f>
        <x:v>166809</x:v>
      </x:c>
      <x:c r="D23" s="90" t="n">
        <x:f>'Горизонт 24 мес'!D12</x:f>
        <x:v>13191</x:v>
      </x:c>
    </x:row>
    <x:row r="24">
      <x:c r="A24" s="76" t="str">
        <x:f>TEXT('Горизонт 24 мес'!E4,"mmm yy")</x:f>
        <x:v>Oct 26</x:v>
      </x:c>
      <x:c r="B24" s="90" t="n">
        <x:f>'Горизонт 24 мес'!E5</x:f>
        <x:v>180000</x:v>
      </x:c>
      <x:c r="C24" s="90" t="n">
        <x:f>'Горизонт 24 мес'!E11</x:f>
        <x:v>166809</x:v>
      </x:c>
      <x:c r="D24" s="90" t="n">
        <x:f>'Горизонт 24 мес'!E12</x:f>
        <x:v>13191</x:v>
      </x:c>
    </x:row>
    <x:row r="25">
      <x:c r="A25" s="76" t="str">
        <x:f>TEXT('Горизонт 24 мес'!F4,"mmm yy")</x:f>
        <x:v>Nov 26</x:v>
      </x:c>
      <x:c r="B25" s="90" t="n">
        <x:f>'Горизонт 24 мес'!F5</x:f>
        <x:v>180000</x:v>
      </x:c>
      <x:c r="C25" s="90" t="n">
        <x:f>'Горизонт 24 мес'!F11</x:f>
        <x:v>166809</x:v>
      </x:c>
      <x:c r="D25" s="90" t="n">
        <x:f>'Горизонт 24 мес'!F12</x:f>
        <x:v>13191</x:v>
      </x:c>
    </x:row>
    <x:row r="26">
      <x:c r="A26" s="76" t="str">
        <x:f>TEXT('Горизонт 24 мес'!G4,"mmm yy")</x:f>
        <x:v>Dec 26</x:v>
      </x:c>
      <x:c r="B26" s="90" t="n">
        <x:f>'Горизонт 24 мес'!G5</x:f>
        <x:v>180000</x:v>
      </x:c>
      <x:c r="C26" s="90" t="n">
        <x:f>'Горизонт 24 мес'!G11</x:f>
        <x:v>166809</x:v>
      </x:c>
      <x:c r="D26" s="90" t="n">
        <x:f>'Горизонт 24 мес'!G12</x:f>
        <x:v>13191</x:v>
      </x:c>
    </x:row>
    <x:row r="27">
      <x:c r="A27" s="76" t="str">
        <x:f>TEXT('Горизонт 24 мес'!H4,"mmm yy")</x:f>
        <x:v>Jan 27</x:v>
      </x:c>
      <x:c r="B27" s="90" t="n">
        <x:f>'Горизонт 24 мес'!H5</x:f>
        <x:v>180000</x:v>
      </x:c>
      <x:c r="C27" s="90" t="n">
        <x:f>'Горизонт 24 мес'!H11</x:f>
        <x:v>166809</x:v>
      </x:c>
      <x:c r="D27" s="90" t="n">
        <x:f>'Горизонт 24 мес'!H12</x:f>
        <x:v>13191</x:v>
      </x:c>
    </x:row>
    <x:row r="28">
      <x:c r="A28" s="76" t="str">
        <x:f>TEXT('Горизонт 24 мес'!I4,"mmm yy")</x:f>
        <x:v>Feb 27</x:v>
      </x:c>
      <x:c r="B28" s="90" t="n">
        <x:f>'Горизонт 24 мес'!I5</x:f>
        <x:v>180000</x:v>
      </x:c>
      <x:c r="C28" s="90" t="n">
        <x:f>'Горизонт 24 мес'!I11</x:f>
        <x:v>162523</x:v>
      </x:c>
      <x:c r="D28" s="90" t="n">
        <x:f>'Горизонт 24 мес'!I12</x:f>
        <x:v>17477</x:v>
      </x:c>
    </x:row>
    <x:row r="29">
      <x:c r="A29" s="76" t="str">
        <x:f>TEXT('Горизонт 24 мес'!J4,"mmm yy")</x:f>
        <x:v>Mar 27</x:v>
      </x:c>
      <x:c r="B29" s="90" t="n">
        <x:f>'Горизонт 24 мес'!J5</x:f>
        <x:v>180000</x:v>
      </x:c>
      <x:c r="C29" s="90" t="n">
        <x:f>'Горизонт 24 мес'!J11</x:f>
        <x:v>162523</x:v>
      </x:c>
      <x:c r="D29" s="90" t="n">
        <x:f>'Горизонт 24 мес'!J12</x:f>
        <x:v>17477</x:v>
      </x:c>
    </x:row>
    <x:row r="30">
      <x:c r="A30" s="76" t="str">
        <x:f>TEXT('Горизонт 24 мес'!K4,"mmm yy")</x:f>
        <x:v>Apr 27</x:v>
      </x:c>
      <x:c r="B30" s="90" t="n">
        <x:f>'Горизонт 24 мес'!K5</x:f>
        <x:v>180000</x:v>
      </x:c>
      <x:c r="C30" s="90" t="n">
        <x:f>'Горизонт 24 мес'!K11</x:f>
        <x:v>162523</x:v>
      </x:c>
      <x:c r="D30" s="90" t="n">
        <x:f>'Горизонт 24 мес'!K12</x:f>
        <x:v>17477</x:v>
      </x:c>
    </x:row>
    <x:row r="31">
      <x:c r="A31" s="76" t="str">
        <x:f>TEXT('Горизонт 24 мес'!L4,"mmm yy")</x:f>
        <x:v>May 27</x:v>
      </x:c>
      <x:c r="B31" s="90" t="n">
        <x:f>'Горизонт 24 мес'!L5</x:f>
        <x:v>180000</x:v>
      </x:c>
      <x:c r="C31" s="90" t="n">
        <x:f>'Горизонт 24 мес'!L11</x:f>
        <x:v>162523</x:v>
      </x:c>
      <x:c r="D31" s="90" t="n">
        <x:f>'Горизонт 24 мес'!L12</x:f>
        <x:v>17477</x:v>
      </x:c>
    </x:row>
    <x:row r="32">
      <x:c r="A32" s="76" t="str">
        <x:f>TEXT('Горизонт 24 мес'!M4,"mmm yy")</x:f>
        <x:v>Jun 27</x:v>
      </x:c>
      <x:c r="B32" s="90" t="n">
        <x:f>'Горизонт 24 мес'!M5</x:f>
        <x:v>180000</x:v>
      </x:c>
      <x:c r="C32" s="90" t="n">
        <x:f>'Горизонт 24 мес'!M11</x:f>
        <x:v>131250</x:v>
      </x:c>
      <x:c r="D32" s="90" t="n">
        <x:f>'Горизонт 24 мес'!M12</x:f>
        <x:v>48750</x:v>
      </x:c>
    </x:row>
    <x:row r="33">
      <x:c r="A33" s="76" t="str">
        <x:f>TEXT('Горизонт 24 мес'!N4,"mmm yy")</x:f>
        <x:v>Jul 27</x:v>
      </x:c>
      <x:c r="B33" s="90" t="n">
        <x:f>'Горизонт 24 мес'!N5</x:f>
        <x:v>180000</x:v>
      </x:c>
      <x:c r="C33" s="90" t="n">
        <x:f>'Горизонт 24 мес'!N11</x:f>
        <x:v>125000</x:v>
      </x:c>
      <x:c r="D33" s="90" t="n">
        <x:f>'Горизонт 24 мес'!N12</x:f>
        <x:v>55000</x:v>
      </x:c>
    </x:row>
    <x:row r="34">
      <x:c r="A34" s="76" t="str">
        <x:f>TEXT('Горизонт 24 мес'!O4,"mmm yy")</x:f>
        <x:v>Aug 27</x:v>
      </x:c>
      <x:c r="B34" s="90" t="n">
        <x:f>'Горизонт 24 мес'!O5</x:f>
        <x:v>180000</x:v>
      </x:c>
      <x:c r="C34" s="90" t="n">
        <x:f>'Горизонт 24 мес'!O11</x:f>
        <x:v>125000</x:v>
      </x:c>
      <x:c r="D34" s="90" t="n">
        <x:f>'Горизонт 24 мес'!O12</x:f>
        <x:v>55000</x:v>
      </x:c>
    </x:row>
    <x:row r="35">
      <x:c r="A35" s="76" t="str">
        <x:f>TEXT('Горизонт 24 мес'!P4,"mmm yy")</x:f>
        <x:v>Sep 27</x:v>
      </x:c>
      <x:c r="B35" s="90" t="n">
        <x:f>'Горизонт 24 мес'!P5</x:f>
        <x:v>180000</x:v>
      </x:c>
      <x:c r="C35" s="90" t="n">
        <x:f>'Горизонт 24 мес'!P11</x:f>
        <x:v>156000</x:v>
      </x:c>
      <x:c r="D35" s="90" t="n">
        <x:f>'Горизонт 24 мес'!P12</x:f>
        <x:v>24000</x:v>
      </x:c>
    </x:row>
    <x:row r="36">
      <x:c r="A36" s="76" t="str">
        <x:f>TEXT('Горизонт 24 мес'!Q4,"mmm yy")</x:f>
        <x:v>Oct 27</x:v>
      </x:c>
      <x:c r="B36" s="90" t="n">
        <x:f>'Горизонт 24 мес'!Q5</x:f>
        <x:v>180000</x:v>
      </x:c>
      <x:c r="C36" s="90" t="n">
        <x:f>'Горизонт 24 мес'!Q11</x:f>
        <x:v>156000</x:v>
      </x:c>
      <x:c r="D36" s="90" t="n">
        <x:f>'Горизонт 24 мес'!Q12</x:f>
        <x:v>24000</x:v>
      </x:c>
    </x:row>
    <x:row r="37">
      <x:c r="A37" s="76" t="str">
        <x:f>TEXT('Горизонт 24 мес'!R4,"mmm yy")</x:f>
        <x:v>Nov 27</x:v>
      </x:c>
      <x:c r="B37" s="90" t="n">
        <x:f>'Горизонт 24 мес'!R5</x:f>
        <x:v>180000</x:v>
      </x:c>
      <x:c r="C37" s="90" t="n">
        <x:f>'Горизонт 24 мес'!R11</x:f>
        <x:v>156000</x:v>
      </x:c>
      <x:c r="D37" s="90" t="n">
        <x:f>'Горизонт 24 мес'!R12</x:f>
        <x:v>24000</x:v>
      </x:c>
    </x:row>
    <x:row r="38">
      <x:c r="A38" s="76" t="str">
        <x:f>TEXT('Горизонт 24 мес'!S4,"mmm yy")</x:f>
        <x:v>Dec 27</x:v>
      </x:c>
      <x:c r="B38" s="90" t="n">
        <x:f>'Горизонт 24 мес'!S5</x:f>
        <x:v>180000</x:v>
      </x:c>
      <x:c r="C38" s="90" t="n">
        <x:f>'Горизонт 24 мес'!S11</x:f>
        <x:v>156000</x:v>
      </x:c>
      <x:c r="D38" s="90" t="n">
        <x:f>'Горизонт 24 мес'!S12</x:f>
        <x:v>24000</x:v>
      </x:c>
    </x:row>
    <x:row r="39">
      <x:c r="A39" s="76" t="str">
        <x:f>TEXT('Горизонт 24 мес'!T4,"mmm yy")</x:f>
        <x:v>Jan 28</x:v>
      </x:c>
      <x:c r="B39" s="90" t="n">
        <x:f>'Горизонт 24 мес'!T5</x:f>
        <x:v>180000</x:v>
      </x:c>
      <x:c r="C39" s="90" t="n">
        <x:f>'Горизонт 24 мес'!T11</x:f>
        <x:v>156000</x:v>
      </x:c>
      <x:c r="D39" s="90" t="n">
        <x:f>'Горизонт 24 мес'!T12</x:f>
        <x:v>24000</x:v>
      </x:c>
    </x:row>
    <x:row r="40">
      <x:c r="A40" s="76" t="str">
        <x:f>TEXT('Горизонт 24 мес'!U4,"mmm yy")</x:f>
        <x:v>Feb 28</x:v>
      </x:c>
      <x:c r="B40" s="90" t="n">
        <x:f>'Горизонт 24 мес'!U5</x:f>
        <x:v>180000</x:v>
      </x:c>
      <x:c r="C40" s="90" t="n">
        <x:f>'Горизонт 24 мес'!U11</x:f>
        <x:v>156000</x:v>
      </x:c>
      <x:c r="D40" s="90" t="n">
        <x:f>'Горизонт 24 мес'!U12</x:f>
        <x:v>24000</x:v>
      </x:c>
    </x:row>
    <x:row r="41">
      <x:c r="A41" s="76" t="str">
        <x:f>TEXT('Горизонт 24 мес'!V4,"mmm yy")</x:f>
        <x:v>Mar 28</x:v>
      </x:c>
      <x:c r="B41" s="90" t="n">
        <x:f>'Горизонт 24 мес'!V5</x:f>
        <x:v>180000</x:v>
      </x:c>
      <x:c r="C41" s="90" t="n">
        <x:f>'Горизонт 24 мес'!V11</x:f>
        <x:v>156000</x:v>
      </x:c>
      <x:c r="D41" s="90" t="n">
        <x:f>'Горизонт 24 мес'!V12</x:f>
        <x:v>24000</x:v>
      </x:c>
    </x:row>
    <x:row r="42">
      <x:c r="A42" s="76" t="str">
        <x:f>TEXT('Горизонт 24 мес'!W4,"mmm yy")</x:f>
        <x:v>Apr 28</x:v>
      </x:c>
      <x:c r="B42" s="90" t="n">
        <x:f>'Горизонт 24 мес'!W5</x:f>
        <x:v>180000</x:v>
      </x:c>
      <x:c r="C42" s="90" t="n">
        <x:f>'Горизонт 24 мес'!W11</x:f>
        <x:v>156000</x:v>
      </x:c>
      <x:c r="D42" s="90" t="n">
        <x:f>'Горизонт 24 мес'!W12</x:f>
        <x:v>24000</x:v>
      </x:c>
    </x:row>
    <x:row r="43">
      <x:c r="A43" s="76" t="str">
        <x:f>TEXT('Горизонт 24 мес'!X4,"mmm yy")</x:f>
        <x:v>May 28</x:v>
      </x:c>
      <x:c r="B43" s="90" t="n">
        <x:f>'Горизонт 24 мес'!X5</x:f>
        <x:v>180000</x:v>
      </x:c>
      <x:c r="C43" s="90" t="n">
        <x:f>'Горизонт 24 мес'!X11</x:f>
        <x:v>156000</x:v>
      </x:c>
      <x:c r="D43" s="90" t="n">
        <x:f>'Горизонт 24 мес'!X12</x:f>
        <x:v>24000</x:v>
      </x:c>
    </x:row>
    <x:row r="44">
      <x:c r="A44" s="76" t="str">
        <x:f>TEXT('Горизонт 24 мес'!Y4,"mmm yy")</x:f>
        <x:v>Jun 28</x:v>
      </x:c>
      <x:c r="B44" s="90" t="n">
        <x:f>'Горизонт 24 мес'!Y5</x:f>
        <x:v>180000</x:v>
      </x:c>
      <x:c r="C44" s="90" t="n">
        <x:f>'Горизонт 24 мес'!Y11</x:f>
        <x:v>125000</x:v>
      </x:c>
      <x:c r="D44" s="90" t="n">
        <x:f>'Горизонт 24 мес'!Y12</x:f>
        <x:v>55000</x:v>
      </x:c>
    </x:row>
  </x:sheetData>
  <x:mergeCells>
    <x:mergeCell ref="A1:N1"/>
    <x:mergeCell ref="A3:C3"/>
    <x:mergeCell ref="A4:C5"/>
    <x:mergeCell ref="A7:C7"/>
    <x:mergeCell ref="A8:C9"/>
    <x:mergeCell ref="E3:G3"/>
    <x:mergeCell ref="E4:G5"/>
    <x:mergeCell ref="E7:G7"/>
    <x:mergeCell ref="E8:G9"/>
    <x:mergeCell ref="A11:F11"/>
  </x:mergeCells>
  <x:pageMargins left="0.7" right="0.7" top="0.75" bottom="0.75" header="0.3" footer="0.3"/>
  <x:drawing xmlns:r="http://schemas.openxmlformats.org/officeDocument/2006/relationships" r:id="Rc7a366f3c9854b10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</x:cols>
  <x:sheetData>
    <x:row r="1" ht="38" customHeight="1">
      <x:c r="A1" s="4" t="str">
        <x:v>Горизонт семьи — 24 месяца</x:v>
      </x:c>
      <x:c r="B1" s="4" t="str">
        <x:v>Горизонт семьи — 24 месяца</x:v>
      </x:c>
      <x:c r="C1" s="4" t="str">
        <x:v>Горизонт семьи — 24 месяца</x:v>
      </x:c>
      <x:c r="D1" s="4" t="str">
        <x:v>Горизонт семьи — 24 месяца</x:v>
      </x:c>
      <x:c r="E1" s="4" t="str">
        <x:v>Горизонт семьи — 24 месяца</x:v>
      </x:c>
      <x:c r="F1" s="4" t="str">
        <x:v>Горизонт семьи — 24 месяца</x:v>
      </x:c>
      <x:c r="G1" s="4" t="str">
        <x:v>Горизонт семьи — 24 месяца</x:v>
      </x:c>
      <x:c r="H1" s="4" t="str">
        <x:v>Горизонт семьи — 24 месяца</x:v>
      </x:c>
      <x:c r="I1" s="4" t="str">
        <x:v>Горизонт семьи — 24 месяца</x:v>
      </x:c>
      <x:c r="J1" s="4" t="str">
        <x:v>Горизонт семьи — 24 месяца</x:v>
      </x:c>
      <x:c r="K1" s="4" t="str">
        <x:v>Горизонт семьи — 24 месяца</x:v>
      </x:c>
      <x:c r="L1" s="4" t="str">
        <x:v>Горизонт семьи — 24 месяца</x:v>
      </x:c>
      <x:c r="M1" s="4" t="str">
        <x:v>Горизонт семьи — 24 месяца</x:v>
      </x:c>
      <x:c r="N1" s="4" t="str">
        <x:v>Горизонт семьи — 24 месяца</x:v>
      </x:c>
      <x:c r="O1" s="4" t="str">
        <x:v>Горизонт семьи — 24 месяца</x:v>
      </x:c>
      <x:c r="P1" s="4" t="str">
        <x:v>Горизонт семьи — 24 месяца</x:v>
      </x:c>
      <x:c r="Q1" s="4" t="str">
        <x:v>Горизонт семьи — 24 месяца</x:v>
      </x:c>
      <x:c r="R1" s="4" t="str">
        <x:v>Горизонт семьи — 24 месяца</x:v>
      </x:c>
      <x:c r="S1" s="4" t="str">
        <x:v>Горизонт семьи — 24 месяца</x:v>
      </x:c>
      <x:c r="T1" s="4" t="str">
        <x:v>Горизонт семьи — 24 месяца</x:v>
      </x:c>
      <x:c r="U1" s="4" t="str">
        <x:v>Горизонт семьи — 24 месяца</x:v>
      </x:c>
      <x:c r="V1" s="4" t="str">
        <x:v>Горизонт семьи — 24 месяца</x:v>
      </x:c>
      <x:c r="W1" s="4" t="str">
        <x:v>Горизонт семьи — 24 месяца</x:v>
      </x:c>
      <x:c r="X1" s="4" t="str">
        <x:v>Горизонт семьи — 24 месяца</x:v>
      </x:c>
      <x:c r="Y1" s="4" t="str">
        <x:v>Горизонт семьи — 24 месяца</x:v>
      </x:c>
    </x:row>
    <x:row r="3">
      <x:c r="A3" s="62" t="str">
        <x:v>Главная строка — «Свободно после плана». Платежи из резерва показаны отдельно и не вычитаются второй раз.</x:v>
      </x:c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</x:row>
    <x:row r="4" ht="34" customHeight="1">
      <x:c r="A4" s="211" t="str">
        <x:v>Показатель</x:v>
      </x:c>
      <x:c r="B4" s="228" t="n">
        <x:f>DATE(YEAR('Настройки'!$B$3),MONTH('Настройки'!$B$3)+0,1)</x:f>
        <x:v>46204</x:v>
      </x:c>
      <x:c r="C4" s="228" t="n">
        <x:f>DATE(YEAR('Настройки'!$B$3),MONTH('Настройки'!$B$3)+1,1)</x:f>
        <x:v>46235</x:v>
      </x:c>
      <x:c r="D4" s="228" t="n">
        <x:f>DATE(YEAR('Настройки'!$B$3),MONTH('Настройки'!$B$3)+2,1)</x:f>
        <x:v>46266</x:v>
      </x:c>
      <x:c r="E4" s="228" t="n">
        <x:f>DATE(YEAR('Настройки'!$B$3),MONTH('Настройки'!$B$3)+3,1)</x:f>
        <x:v>46296</x:v>
      </x:c>
      <x:c r="F4" s="228" t="n">
        <x:f>DATE(YEAR('Настройки'!$B$3),MONTH('Настройки'!$B$3)+4,1)</x:f>
        <x:v>46327</x:v>
      </x:c>
      <x:c r="G4" s="228" t="n">
        <x:f>DATE(YEAR('Настройки'!$B$3),MONTH('Настройки'!$B$3)+5,1)</x:f>
        <x:v>46357</x:v>
      </x:c>
      <x:c r="H4" s="228" t="n">
        <x:f>DATE(YEAR('Настройки'!$B$3),MONTH('Настройки'!$B$3)+6,1)</x:f>
        <x:v>46388</x:v>
      </x:c>
      <x:c r="I4" s="228" t="n">
        <x:f>DATE(YEAR('Настройки'!$B$3),MONTH('Настройки'!$B$3)+7,1)</x:f>
        <x:v>46419</x:v>
      </x:c>
      <x:c r="J4" s="228" t="n">
        <x:f>DATE(YEAR('Настройки'!$B$3),MONTH('Настройки'!$B$3)+8,1)</x:f>
        <x:v>46447</x:v>
      </x:c>
      <x:c r="K4" s="228" t="n">
        <x:f>DATE(YEAR('Настройки'!$B$3),MONTH('Настройки'!$B$3)+9,1)</x:f>
        <x:v>46478</x:v>
      </x:c>
      <x:c r="L4" s="228" t="n">
        <x:f>DATE(YEAR('Настройки'!$B$3),MONTH('Настройки'!$B$3)+10,1)</x:f>
        <x:v>46508</x:v>
      </x:c>
      <x:c r="M4" s="228" t="n">
        <x:f>DATE(YEAR('Настройки'!$B$3),MONTH('Настройки'!$B$3)+11,1)</x:f>
        <x:v>46539</x:v>
      </x:c>
      <x:c r="N4" s="228" t="n">
        <x:f>DATE(YEAR('Настройки'!$B$3),MONTH('Настройки'!$B$3)+12,1)</x:f>
        <x:v>46569</x:v>
      </x:c>
      <x:c r="O4" s="228" t="n">
        <x:f>DATE(YEAR('Настройки'!$B$3),MONTH('Настройки'!$B$3)+13,1)</x:f>
        <x:v>46600</x:v>
      </x:c>
      <x:c r="P4" s="228" t="n">
        <x:f>DATE(YEAR('Настройки'!$B$3),MONTH('Настройки'!$B$3)+14,1)</x:f>
        <x:v>46631</x:v>
      </x:c>
      <x:c r="Q4" s="228" t="n">
        <x:f>DATE(YEAR('Настройки'!$B$3),MONTH('Настройки'!$B$3)+15,1)</x:f>
        <x:v>46661</x:v>
      </x:c>
      <x:c r="R4" s="228" t="n">
        <x:f>DATE(YEAR('Настройки'!$B$3),MONTH('Настройки'!$B$3)+16,1)</x:f>
        <x:v>46692</x:v>
      </x:c>
      <x:c r="S4" s="228" t="n">
        <x:f>DATE(YEAR('Настройки'!$B$3),MONTH('Настройки'!$B$3)+17,1)</x:f>
        <x:v>46722</x:v>
      </x:c>
      <x:c r="T4" s="228" t="n">
        <x:f>DATE(YEAR('Настройки'!$B$3),MONTH('Настройки'!$B$3)+18,1)</x:f>
        <x:v>46753</x:v>
      </x:c>
      <x:c r="U4" s="228" t="n">
        <x:f>DATE(YEAR('Настройки'!$B$3),MONTH('Настройки'!$B$3)+19,1)</x:f>
        <x:v>46784</x:v>
      </x:c>
      <x:c r="V4" s="228" t="n">
        <x:f>DATE(YEAR('Настройки'!$B$3),MONTH('Настройки'!$B$3)+20,1)</x:f>
        <x:v>46813</x:v>
      </x:c>
      <x:c r="W4" s="228" t="n">
        <x:f>DATE(YEAR('Настройки'!$B$3),MONTH('Настройки'!$B$3)+21,1)</x:f>
        <x:v>46844</x:v>
      </x:c>
      <x:c r="X4" s="228" t="n">
        <x:f>DATE(YEAR('Настройки'!$B$3),MONTH('Настройки'!$B$3)+22,1)</x:f>
        <x:v>46874</x:v>
      </x:c>
      <x:c r="Y4" s="228" t="n">
        <x:f>DATE(YEAR('Настройки'!$B$3),MONTH('Настройки'!$B$3)+23,1)</x:f>
        <x:v>46905</x:v>
      </x:c>
    </x:row>
    <x:row r="5" ht="34" customHeight="1">
      <x:c r="A5" s="212" t="str">
        <x:v>Плановый доход</x:v>
      </x:c>
      <x:c r="B5" s="139" t="n">
        <x:f>'Настройки'!$B$5</x:f>
        <x:v>180000</x:v>
      </x:c>
      <x:c r="C5" s="139" t="n">
        <x:f>'Настройки'!$B$5</x:f>
        <x:v>180000</x:v>
      </x:c>
      <x:c r="D5" s="139" t="n">
        <x:f>'Настройки'!$B$5</x:f>
        <x:v>180000</x:v>
      </x:c>
      <x:c r="E5" s="139" t="n">
        <x:f>'Настройки'!$B$5</x:f>
        <x:v>180000</x:v>
      </x:c>
      <x:c r="F5" s="139" t="n">
        <x:f>'Настройки'!$B$5</x:f>
        <x:v>180000</x:v>
      </x:c>
      <x:c r="G5" s="139" t="n">
        <x:f>'Настройки'!$B$5</x:f>
        <x:v>180000</x:v>
      </x:c>
      <x:c r="H5" s="139" t="n">
        <x:f>'Настройки'!$B$5</x:f>
        <x:v>180000</x:v>
      </x:c>
      <x:c r="I5" s="139" t="n">
        <x:f>'Настройки'!$B$5</x:f>
        <x:v>180000</x:v>
      </x:c>
      <x:c r="J5" s="139" t="n">
        <x:f>'Настройки'!$B$5</x:f>
        <x:v>180000</x:v>
      </x:c>
      <x:c r="K5" s="139" t="n">
        <x:f>'Настройки'!$B$5</x:f>
        <x:v>180000</x:v>
      </x:c>
      <x:c r="L5" s="139" t="n">
        <x:f>'Настройки'!$B$5</x:f>
        <x:v>180000</x:v>
      </x:c>
      <x:c r="M5" s="139" t="n">
        <x:f>'Настройки'!$B$5</x:f>
        <x:v>180000</x:v>
      </x:c>
      <x:c r="N5" s="139" t="n">
        <x:f>'Настройки'!$B$5</x:f>
        <x:v>180000</x:v>
      </x:c>
      <x:c r="O5" s="139" t="n">
        <x:f>'Настройки'!$B$5</x:f>
        <x:v>180000</x:v>
      </x:c>
      <x:c r="P5" s="139" t="n">
        <x:f>'Настройки'!$B$5</x:f>
        <x:v>180000</x:v>
      </x:c>
      <x:c r="Q5" s="139" t="n">
        <x:f>'Настройки'!$B$5</x:f>
        <x:v>180000</x:v>
      </x:c>
      <x:c r="R5" s="139" t="n">
        <x:f>'Настройки'!$B$5</x:f>
        <x:v>180000</x:v>
      </x:c>
      <x:c r="S5" s="139" t="n">
        <x:f>'Настройки'!$B$5</x:f>
        <x:v>180000</x:v>
      </x:c>
      <x:c r="T5" s="139" t="n">
        <x:f>'Настройки'!$B$5</x:f>
        <x:v>180000</x:v>
      </x:c>
      <x:c r="U5" s="139" t="n">
        <x:f>'Настройки'!$B$5</x:f>
        <x:v>180000</x:v>
      </x:c>
      <x:c r="V5" s="139" t="n">
        <x:f>'Настройки'!$B$5</x:f>
        <x:v>180000</x:v>
      </x:c>
      <x:c r="W5" s="139" t="n">
        <x:f>'Настройки'!$B$5</x:f>
        <x:v>180000</x:v>
      </x:c>
      <x:c r="X5" s="139" t="n">
        <x:f>'Настройки'!$B$5</x:f>
        <x:v>180000</x:v>
      </x:c>
      <x:c r="Y5" s="139" t="n">
        <x:f>'Настройки'!$B$5</x:f>
        <x:v>180000</x:v>
      </x:c>
    </x:row>
    <x:row r="6" ht="34" customHeight="1">
      <x:c r="A6" s="212" t="str">
        <x:v>Ежемесячные</x:v>
      </x:c>
      <x:c r="B6" s="139" t="n">
        <x:f>SUMIFS(MonthlyExpenses[Сумма / мес],MonthlyExpenses[Активно],"Да")</x:f>
        <x:v>53000</x:v>
      </x:c>
      <x:c r="C6" s="139" t="n">
        <x:f>SUMIFS(MonthlyExpenses[Сумма / мес],MonthlyExpenses[Активно],"Да")</x:f>
        <x:v>53000</x:v>
      </x:c>
      <x:c r="D6" s="139" t="n">
        <x:f>SUMIFS(MonthlyExpenses[Сумма / мес],MonthlyExpenses[Активно],"Да")</x:f>
        <x:v>53000</x:v>
      </x:c>
      <x:c r="E6" s="139" t="n">
        <x:f>SUMIFS(MonthlyExpenses[Сумма / мес],MonthlyExpenses[Активно],"Да")</x:f>
        <x:v>53000</x:v>
      </x:c>
      <x:c r="F6" s="139" t="n">
        <x:f>SUMIFS(MonthlyExpenses[Сумма / мес],MonthlyExpenses[Активно],"Да")</x:f>
        <x:v>53000</x:v>
      </x:c>
      <x:c r="G6" s="139" t="n">
        <x:f>SUMIFS(MonthlyExpenses[Сумма / мес],MonthlyExpenses[Активно],"Да")</x:f>
        <x:v>53000</x:v>
      </x:c>
      <x:c r="H6" s="139" t="n">
        <x:f>SUMIFS(MonthlyExpenses[Сумма / мес],MonthlyExpenses[Активно],"Да")</x:f>
        <x:v>53000</x:v>
      </x:c>
      <x:c r="I6" s="139" t="n">
        <x:f>SUMIFS(MonthlyExpenses[Сумма / мес],MonthlyExpenses[Активно],"Да")</x:f>
        <x:v>53000</x:v>
      </x:c>
      <x:c r="J6" s="139" t="n">
        <x:f>SUMIFS(MonthlyExpenses[Сумма / мес],MonthlyExpenses[Активно],"Да")</x:f>
        <x:v>53000</x:v>
      </x:c>
      <x:c r="K6" s="139" t="n">
        <x:f>SUMIFS(MonthlyExpenses[Сумма / мес],MonthlyExpenses[Активно],"Да")</x:f>
        <x:v>53000</x:v>
      </x:c>
      <x:c r="L6" s="139" t="n">
        <x:f>SUMIFS(MonthlyExpenses[Сумма / мес],MonthlyExpenses[Активно],"Да")</x:f>
        <x:v>53000</x:v>
      </x:c>
      <x:c r="M6" s="139" t="n">
        <x:f>SUMIFS(MonthlyExpenses[Сумма / мес],MonthlyExpenses[Активно],"Да")</x:f>
        <x:v>53000</x:v>
      </x:c>
      <x:c r="N6" s="139" t="n">
        <x:f>SUMIFS(MonthlyExpenses[Сумма / мес],MonthlyExpenses[Активно],"Да")</x:f>
        <x:v>53000</x:v>
      </x:c>
      <x:c r="O6" s="139" t="n">
        <x:f>SUMIFS(MonthlyExpenses[Сумма / мес],MonthlyExpenses[Активно],"Да")</x:f>
        <x:v>53000</x:v>
      </x:c>
      <x:c r="P6" s="139" t="n">
        <x:f>SUMIFS(MonthlyExpenses[Сумма / мес],MonthlyExpenses[Активно],"Да")</x:f>
        <x:v>53000</x:v>
      </x:c>
      <x:c r="Q6" s="139" t="n">
        <x:f>SUMIFS(MonthlyExpenses[Сумма / мес],MonthlyExpenses[Активно],"Да")</x:f>
        <x:v>53000</x:v>
      </x:c>
      <x:c r="R6" s="139" t="n">
        <x:f>SUMIFS(MonthlyExpenses[Сумма / мес],MonthlyExpenses[Активно],"Да")</x:f>
        <x:v>53000</x:v>
      </x:c>
      <x:c r="S6" s="139" t="n">
        <x:f>SUMIFS(MonthlyExpenses[Сумма / мес],MonthlyExpenses[Активно],"Да")</x:f>
        <x:v>53000</x:v>
      </x:c>
      <x:c r="T6" s="139" t="n">
        <x:f>SUMIFS(MonthlyExpenses[Сумма / мес],MonthlyExpenses[Активно],"Да")</x:f>
        <x:v>53000</x:v>
      </x:c>
      <x:c r="U6" s="139" t="n">
        <x:f>SUMIFS(MonthlyExpenses[Сумма / мес],MonthlyExpenses[Активно],"Да")</x:f>
        <x:v>53000</x:v>
      </x:c>
      <x:c r="V6" s="139" t="n">
        <x:f>SUMIFS(MonthlyExpenses[Сумма / мес],MonthlyExpenses[Активно],"Да")</x:f>
        <x:v>53000</x:v>
      </x:c>
      <x:c r="W6" s="139" t="n">
        <x:f>SUMIFS(MonthlyExpenses[Сумма / мес],MonthlyExpenses[Активно],"Да")</x:f>
        <x:v>53000</x:v>
      </x:c>
      <x:c r="X6" s="139" t="n">
        <x:f>SUMIFS(MonthlyExpenses[Сумма / мес],MonthlyExpenses[Активно],"Да")</x:f>
        <x:v>53000</x:v>
      </x:c>
      <x:c r="Y6" s="139" t="n">
        <x:f>SUMIFS(MonthlyExpenses[Сумма / мес],MonthlyExpenses[Активно],"Да")</x:f>
        <x:v>53000</x:v>
      </x:c>
    </x:row>
    <x:row r="7" ht="34" customHeight="1">
      <x:c r="A7" s="212" t="str">
        <x:v>Сезонные</x:v>
      </x:c>
      <x:c r="B7" s="139" t="n">
        <x:f>CHOOSE(MONTH(B$4),SUMIFS(SeasonalExpenses[Сумма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0</x:v>
      </x:c>
      <x:c r="C7" s="139" t="n">
        <x:f>CHOOSE(MONTH(C$4),SUMIFS(SeasonalExpenses[Сумма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0</x:v>
      </x:c>
      <x:c r="D7" s="139" t="n">
        <x:f>CHOOSE(MONTH(D$4),SUMIFS(SeasonalExpenses[Сумма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E7" s="139" t="n">
        <x:f>CHOOSE(MONTH(E$4),SUMIFS(SeasonalExpenses[Сумма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F7" s="139" t="n">
        <x:f>CHOOSE(MONTH(F$4),SUMIFS(SeasonalExpenses[Сумма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G7" s="139" t="n">
        <x:f>CHOOSE(MONTH(G$4),SUMIFS(SeasonalExpenses[Сумма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H7" s="139" t="n">
        <x:f>CHOOSE(MONTH(H$4),SUMIFS(SeasonalExpenses[Сумма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I7" s="139" t="n">
        <x:f>CHOOSE(MONTH(I$4),SUMIFS(SeasonalExpenses[Сумма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J7" s="139" t="n">
        <x:f>CHOOSE(MONTH(J$4),SUMIFS(SeasonalExpenses[Сумма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K7" s="139" t="n">
        <x:f>CHOOSE(MONTH(K$4),SUMIFS(SeasonalExpenses[Сумма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L7" s="139" t="n">
        <x:f>CHOOSE(MONTH(L$4),SUMIFS(SeasonalExpenses[Сумма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M7" s="139" t="n">
        <x:f>CHOOSE(MONTH(M$4),SUMIFS(SeasonalExpenses[Сумма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0</x:v>
      </x:c>
      <x:c r="N7" s="139" t="n">
        <x:f>CHOOSE(MONTH(N$4),SUMIFS(SeasonalExpenses[Сумма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0</x:v>
      </x:c>
      <x:c r="O7" s="139" t="n">
        <x:f>CHOOSE(MONTH(O$4),SUMIFS(SeasonalExpenses[Сумма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0</x:v>
      </x:c>
      <x:c r="P7" s="139" t="n">
        <x:f>CHOOSE(MONTH(P$4),SUMIFS(SeasonalExpenses[Сумма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Q7" s="139" t="n">
        <x:f>CHOOSE(MONTH(Q$4),SUMIFS(SeasonalExpenses[Сумма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R7" s="139" t="n">
        <x:f>CHOOSE(MONTH(R$4),SUMIFS(SeasonalExpenses[Сумма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S7" s="139" t="n">
        <x:f>CHOOSE(MONTH(S$4),SUMIFS(SeasonalExpenses[Сумма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T7" s="139" t="n">
        <x:f>CHOOSE(MONTH(T$4),SUMIFS(SeasonalExpenses[Сумма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U7" s="139" t="n">
        <x:f>CHOOSE(MONTH(U$4),SUMIFS(SeasonalExpenses[Сумма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V7" s="139" t="n">
        <x:f>CHOOSE(MONTH(V$4),SUMIFS(SeasonalExpenses[Сумма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W7" s="139" t="n">
        <x:f>CHOOSE(MONTH(W$4),SUMIFS(SeasonalExpenses[Сумма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X7" s="139" t="n">
        <x:f>CHOOSE(MONTH(X$4),SUMIFS(SeasonalExpenses[Сумма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31000</x:v>
      </x:c>
      <x:c r="Y7" s="139" t="n">
        <x:f>CHOOSE(MONTH(Y$4),SUMIFS(SeasonalExpenses[Сумма / активный мес],SeasonalExpenses[Янв],"Да",SeasonalExpenses[Активно],"Да"),SUMIFS(SeasonalExpenses[Сумма / активный мес],SeasonalExpenses[Фев],"Да",SeasonalExpenses[Активно],"Да"),SUMIFS(SeasonalExpenses[Сумма / активный мес],SeasonalExpenses[Мар],"Да",SeasonalExpenses[Активно],"Да"),SUMIFS(SeasonalExpenses[Сумма / активный мес],SeasonalExpenses[Апр],"Да",SeasonalExpenses[Активно],"Да"),SUMIFS(SeasonalExpenses[Сумма / активный мес],SeasonalExpenses[Май],"Да",SeasonalExpenses[Активно],"Да"),SUMIFS(SeasonalExpenses[Сумма / активный мес],SeasonalExpenses[Июн],"Да",SeasonalExpenses[Активно],"Да"),SUMIFS(SeasonalExpenses[Сумма / активный мес],SeasonalExpenses[Июл],"Да",SeasonalExpenses[Активно],"Да"),SUMIFS(SeasonalExpenses[Сумма / активный мес],SeasonalExpenses[Авг],"Да",SeasonalExpenses[Активно],"Да"),SUMIFS(SeasonalExpenses[Сумма / активный мес],SeasonalExpenses[Сен],"Да",SeasonalExpenses[Активно],"Да"),SUMIFS(SeasonalExpenses[Сумма / активный мес],SeasonalExpenses[Окт],"Да",SeasonalExpenses[Активно],"Да"),SUMIFS(SeasonalExpenses[Сумма / активный мес],SeasonalExpenses[Ноя],"Да",SeasonalExpenses[Активно],"Да"),SUMIFS(SeasonalExpenses[Сумма / активный мес],SeasonalExpenses[Дек],"Да",SeasonalExpenses[Активно],"Да"))</x:f>
        <x:v>0</x:v>
      </x:c>
    </x:row>
    <x:row r="8" ht="34" customHeight="1">
      <x:c r="A8" s="212" t="str">
        <x:v>Повседневные лимиты</x:v>
      </x:c>
      <x:c r="B8" s="139" t="n">
        <x:f>SUMIFS(FlexibleBudgets[Лимит / мес],FlexibleBudgets[Активно],"Да")</x:f>
        <x:v>53000</x:v>
      </x:c>
      <x:c r="C8" s="139" t="n">
        <x:f>SUMIFS(FlexibleBudgets[Лимит / мес],FlexibleBudgets[Активно],"Да")</x:f>
        <x:v>53000</x:v>
      </x:c>
      <x:c r="D8" s="139" t="n">
        <x:f>SUMIFS(FlexibleBudgets[Лимит / мес],FlexibleBudgets[Активно],"Да")</x:f>
        <x:v>53000</x:v>
      </x:c>
      <x:c r="E8" s="139" t="n">
        <x:f>SUMIFS(FlexibleBudgets[Лимит / мес],FlexibleBudgets[Активно],"Да")</x:f>
        <x:v>53000</x:v>
      </x:c>
      <x:c r="F8" s="139" t="n">
        <x:f>SUMIFS(FlexibleBudgets[Лимит / мес],FlexibleBudgets[Активно],"Да")</x:f>
        <x:v>53000</x:v>
      </x:c>
      <x:c r="G8" s="139" t="n">
        <x:f>SUMIFS(FlexibleBudgets[Лимит / мес],FlexibleBudgets[Активно],"Да")</x:f>
        <x:v>53000</x:v>
      </x:c>
      <x:c r="H8" s="139" t="n">
        <x:f>SUMIFS(FlexibleBudgets[Лимит / мес],FlexibleBudgets[Активно],"Да")</x:f>
        <x:v>53000</x:v>
      </x:c>
      <x:c r="I8" s="139" t="n">
        <x:f>SUMIFS(FlexibleBudgets[Лимит / мес],FlexibleBudgets[Активно],"Да")</x:f>
        <x:v>53000</x:v>
      </x:c>
      <x:c r="J8" s="139" t="n">
        <x:f>SUMIFS(FlexibleBudgets[Лимит / мес],FlexibleBudgets[Активно],"Да")</x:f>
        <x:v>53000</x:v>
      </x:c>
      <x:c r="K8" s="139" t="n">
        <x:f>SUMIFS(FlexibleBudgets[Лимит / мес],FlexibleBudgets[Активно],"Да")</x:f>
        <x:v>53000</x:v>
      </x:c>
      <x:c r="L8" s="139" t="n">
        <x:f>SUMIFS(FlexibleBudgets[Лимит / мес],FlexibleBudgets[Активно],"Да")</x:f>
        <x:v>53000</x:v>
      </x:c>
      <x:c r="M8" s="139" t="n">
        <x:f>SUMIFS(FlexibleBudgets[Лимит / мес],FlexibleBudgets[Активно],"Да")</x:f>
        <x:v>53000</x:v>
      </x:c>
      <x:c r="N8" s="139" t="n">
        <x:f>SUMIFS(FlexibleBudgets[Лимит / мес],FlexibleBudgets[Активно],"Да")</x:f>
        <x:v>53000</x:v>
      </x:c>
      <x:c r="O8" s="139" t="n">
        <x:f>SUMIFS(FlexibleBudgets[Лимит / мес],FlexibleBudgets[Активно],"Да")</x:f>
        <x:v>53000</x:v>
      </x:c>
      <x:c r="P8" s="139" t="n">
        <x:f>SUMIFS(FlexibleBudgets[Лимит / мес],FlexibleBudgets[Активно],"Да")</x:f>
        <x:v>53000</x:v>
      </x:c>
      <x:c r="Q8" s="139" t="n">
        <x:f>SUMIFS(FlexibleBudgets[Лимит / мес],FlexibleBudgets[Активно],"Да")</x:f>
        <x:v>53000</x:v>
      </x:c>
      <x:c r="R8" s="139" t="n">
        <x:f>SUMIFS(FlexibleBudgets[Лимит / мес],FlexibleBudgets[Активно],"Да")</x:f>
        <x:v>53000</x:v>
      </x:c>
      <x:c r="S8" s="139" t="n">
        <x:f>SUMIFS(FlexibleBudgets[Лимит / мес],FlexibleBudgets[Активно],"Да")</x:f>
        <x:v>53000</x:v>
      </x:c>
      <x:c r="T8" s="139" t="n">
        <x:f>SUMIFS(FlexibleBudgets[Лимит / мес],FlexibleBudgets[Активно],"Да")</x:f>
        <x:v>53000</x:v>
      </x:c>
      <x:c r="U8" s="139" t="n">
        <x:f>SUMIFS(FlexibleBudgets[Лимит / мес],FlexibleBudgets[Активно],"Да")</x:f>
        <x:v>53000</x:v>
      </x:c>
      <x:c r="V8" s="139" t="n">
        <x:f>SUMIFS(FlexibleBudgets[Лимит / мес],FlexibleBudgets[Активно],"Да")</x:f>
        <x:v>53000</x:v>
      </x:c>
      <x:c r="W8" s="139" t="n">
        <x:f>SUMIFS(FlexibleBudgets[Лимит / мес],FlexibleBudgets[Активно],"Да")</x:f>
        <x:v>53000</x:v>
      </x:c>
      <x:c r="X8" s="139" t="n">
        <x:f>SUMIFS(FlexibleBudgets[Лимит / мес],FlexibleBudgets[Активно],"Да")</x:f>
        <x:v>53000</x:v>
      </x:c>
      <x:c r="Y8" s="139" t="n">
        <x:f>SUMIFS(FlexibleBudgets[Лимит / мес],FlexibleBudgets[Активно],"Да")</x:f>
        <x:v>53000</x:v>
      </x:c>
    </x:row>
    <x:row r="9" ht="34" customHeight="1">
      <x:c r="A9" s="212" t="str">
        <x:v>В резерв крупных</x:v>
      </x:c>
      <x:c r="B9" s="139" t="n">
        <x:f>SUMIFS(AnnualCommitments[Откладывать / мес],AnnualCommitments[Активно],"Да",AnnualCommitments[Ближайшая дата],"&gt;="&amp;B$4)+SUMIFS(AnnualCommitments[После первой оплаты / мес],AnnualCommitments[Активно],"Да",AnnualCommitments[Повтор],"Ежегодный",AnnualCommitments[Ближайшая дата],"&lt;"&amp;B$4)</x:f>
        <x:v>19809</x:v>
      </x:c>
      <x:c r="C9" s="139" t="n">
        <x:f>SUMIFS(AnnualCommitments[Откладывать / мес],AnnualCommitments[Активно],"Да",AnnualCommitments[Ближайшая дата],"&gt;="&amp;C$4)+SUMIFS(AnnualCommitments[После первой оплаты / мес],AnnualCommitments[Активно],"Да",AnnualCommitments[Повтор],"Ежегодный",AnnualCommitments[Ближайшая дата],"&lt;"&amp;C$4)</x:f>
        <x:v>19809</x:v>
      </x:c>
      <x:c r="D9" s="139" t="n">
        <x:f>SUMIFS(AnnualCommitments[Откладывать / мес],AnnualCommitments[Активно],"Да",AnnualCommitments[Ближайшая дата],"&gt;="&amp;D$4)+SUMIFS(AnnualCommitments[После первой оплаты / мес],AnnualCommitments[Активно],"Да",AnnualCommitments[Повтор],"Ежегодный",AnnualCommitments[Ближайшая дата],"&lt;"&amp;D$4)</x:f>
        <x:v>19809</x:v>
      </x:c>
      <x:c r="E9" s="139" t="n">
        <x:f>SUMIFS(AnnualCommitments[Откладывать / мес],AnnualCommitments[Активно],"Да",AnnualCommitments[Ближайшая дата],"&gt;="&amp;E$4)+SUMIFS(AnnualCommitments[После первой оплаты / мес],AnnualCommitments[Активно],"Да",AnnualCommitments[Повтор],"Ежегодный",AnnualCommitments[Ближайшая дата],"&lt;"&amp;E$4)</x:f>
        <x:v>19809</x:v>
      </x:c>
      <x:c r="F9" s="139" t="n">
        <x:f>SUMIFS(AnnualCommitments[Откладывать / мес],AnnualCommitments[Активно],"Да",AnnualCommitments[Ближайшая дата],"&gt;="&amp;F$4)+SUMIFS(AnnualCommitments[После первой оплаты / мес],AnnualCommitments[Активно],"Да",AnnualCommitments[Повтор],"Ежегодный",AnnualCommitments[Ближайшая дата],"&lt;"&amp;F$4)</x:f>
        <x:v>19809</x:v>
      </x:c>
      <x:c r="G9" s="139" t="n">
        <x:f>SUMIFS(AnnualCommitments[Откладывать / мес],AnnualCommitments[Активно],"Да",AnnualCommitments[Ближайшая дата],"&gt;="&amp;G$4)+SUMIFS(AnnualCommitments[После первой оплаты / мес],AnnualCommitments[Активно],"Да",AnnualCommitments[Повтор],"Ежегодный",AnnualCommitments[Ближайшая дата],"&lt;"&amp;G$4)</x:f>
        <x:v>19809</x:v>
      </x:c>
      <x:c r="H9" s="139" t="n">
        <x:f>SUMIFS(AnnualCommitments[Откладывать / мес],AnnualCommitments[Активно],"Да",AnnualCommitments[Ближайшая дата],"&gt;="&amp;H$4)+SUMIFS(AnnualCommitments[После первой оплаты / мес],AnnualCommitments[Активно],"Да",AnnualCommitments[Повтор],"Ежегодный",AnnualCommitments[Ближайшая дата],"&lt;"&amp;H$4)</x:f>
        <x:v>19809</x:v>
      </x:c>
      <x:c r="I9" s="139" t="n">
        <x:f>SUMIFS(AnnualCommitments[Откладывать / мес],AnnualCommitments[Активно],"Да",AnnualCommitments[Ближайшая дата],"&gt;="&amp;I$4)+SUMIFS(AnnualCommitments[После первой оплаты / мес],AnnualCommitments[Активно],"Да",AnnualCommitments[Повтор],"Ежегодный",AnnualCommitments[Ближайшая дата],"&lt;"&amp;I$4)</x:f>
        <x:v>15523</x:v>
      </x:c>
      <x:c r="J9" s="139" t="n">
        <x:f>SUMIFS(AnnualCommitments[Откладывать / мес],AnnualCommitments[Активно],"Да",AnnualCommitments[Ближайшая дата],"&gt;="&amp;J$4)+SUMIFS(AnnualCommitments[После первой оплаты / мес],AnnualCommitments[Активно],"Да",AnnualCommitments[Повтор],"Ежегодный",AnnualCommitments[Ближайшая дата],"&lt;"&amp;J$4)</x:f>
        <x:v>15523</x:v>
      </x:c>
      <x:c r="K9" s="139" t="n">
        <x:f>SUMIFS(AnnualCommitments[Откладывать / мес],AnnualCommitments[Активно],"Да",AnnualCommitments[Ближайшая дата],"&gt;="&amp;K$4)+SUMIFS(AnnualCommitments[После первой оплаты / мес],AnnualCommitments[Активно],"Да",AnnualCommitments[Повтор],"Ежегодный",AnnualCommitments[Ближайшая дата],"&lt;"&amp;K$4)</x:f>
        <x:v>15523</x:v>
      </x:c>
      <x:c r="L9" s="139" t="n">
        <x:f>SUMIFS(AnnualCommitments[Откладывать / мес],AnnualCommitments[Активно],"Да",AnnualCommitments[Ближайшая дата],"&gt;="&amp;L$4)+SUMIFS(AnnualCommitments[После первой оплаты / мес],AnnualCommitments[Активно],"Да",AnnualCommitments[Повтор],"Ежегодный",AnnualCommitments[Ближайшая дата],"&lt;"&amp;L$4)</x:f>
        <x:v>15523</x:v>
      </x:c>
      <x:c r="M9" s="139" t="n">
        <x:f>SUMIFS(AnnualCommitments[Откладывать / мес],AnnualCommitments[Активно],"Да",AnnualCommitments[Ближайшая дата],"&gt;="&amp;M$4)+SUMIFS(AnnualCommitments[После первой оплаты / мес],AnnualCommitments[Активно],"Да",AnnualCommitments[Повтор],"Ежегодный",AnnualCommitments[Ближайшая дата],"&lt;"&amp;M$4)</x:f>
        <x:v>15250</x:v>
      </x:c>
      <x:c r="N9" s="139" t="n">
        <x:f>SUMIFS(AnnualCommitments[Откладывать / мес],AnnualCommitments[Активно],"Да",AnnualCommitments[Ближайшая дата],"&gt;="&amp;N$4)+SUMIFS(AnnualCommitments[После первой оплаты / мес],AnnualCommitments[Активно],"Да",AnnualCommitments[Повтор],"Ежегодный",AnnualCommitments[Ближайшая дата],"&lt;"&amp;N$4)</x:f>
        <x:v>9000</x:v>
      </x:c>
      <x:c r="O9" s="139" t="n">
        <x:f>SUMIFS(AnnualCommitments[Откладывать / мес],AnnualCommitments[Активно],"Да",AnnualCommitments[Ближайшая дата],"&gt;="&amp;O$4)+SUMIFS(AnnualCommitments[После первой оплаты / мес],AnnualCommitments[Активно],"Да",AnnualCommitments[Повтор],"Ежегодный",AnnualCommitments[Ближайшая дата],"&lt;"&amp;O$4)</x:f>
        <x:v>9000</x:v>
      </x:c>
      <x:c r="P9" s="139" t="n">
        <x:f>SUMIFS(AnnualCommitments[Откладывать / мес],AnnualCommitments[Активно],"Да",AnnualCommitments[Ближайшая дата],"&gt;="&amp;P$4)+SUMIFS(AnnualCommitments[После первой оплаты / мес],AnnualCommitments[Активно],"Да",AnnualCommitments[Повтор],"Ежегодный",AnnualCommitments[Ближайшая дата],"&lt;"&amp;P$4)</x:f>
        <x:v>9000</x:v>
      </x:c>
      <x:c r="Q9" s="139" t="n">
        <x:f>SUMIFS(AnnualCommitments[Откладывать / мес],AnnualCommitments[Активно],"Да",AnnualCommitments[Ближайшая дата],"&gt;="&amp;Q$4)+SUMIFS(AnnualCommitments[После первой оплаты / мес],AnnualCommitments[Активно],"Да",AnnualCommitments[Повтор],"Ежегодный",AnnualCommitments[Ближайшая дата],"&lt;"&amp;Q$4)</x:f>
        <x:v>9000</x:v>
      </x:c>
      <x:c r="R9" s="139" t="n">
        <x:f>SUMIFS(AnnualCommitments[Откладывать / мес],AnnualCommitments[Активно],"Да",AnnualCommitments[Ближайшая дата],"&gt;="&amp;R$4)+SUMIFS(AnnualCommitments[После первой оплаты / мес],AnnualCommitments[Активно],"Да",AnnualCommitments[Повтор],"Ежегодный",AnnualCommitments[Ближайшая дата],"&lt;"&amp;R$4)</x:f>
        <x:v>9000</x:v>
      </x:c>
      <x:c r="S9" s="139" t="n">
        <x:f>SUMIFS(AnnualCommitments[Откладывать / мес],AnnualCommitments[Активно],"Да",AnnualCommitments[Ближайшая дата],"&gt;="&amp;S$4)+SUMIFS(AnnualCommitments[После первой оплаты / мес],AnnualCommitments[Активно],"Да",AnnualCommitments[Повтор],"Ежегодный",AnnualCommitments[Ближайшая дата],"&lt;"&amp;S$4)</x:f>
        <x:v>9000</x:v>
      </x:c>
      <x:c r="T9" s="139" t="n">
        <x:f>SUMIFS(AnnualCommitments[Откладывать / мес],AnnualCommitments[Активно],"Да",AnnualCommitments[Ближайшая дата],"&gt;="&amp;T$4)+SUMIFS(AnnualCommitments[После первой оплаты / мес],AnnualCommitments[Активно],"Да",AnnualCommitments[Повтор],"Ежегодный",AnnualCommitments[Ближайшая дата],"&lt;"&amp;T$4)</x:f>
        <x:v>9000</x:v>
      </x:c>
      <x:c r="U9" s="139" t="n">
        <x:f>SUMIFS(AnnualCommitments[Откладывать / мес],AnnualCommitments[Активно],"Да",AnnualCommitments[Ближайшая дата],"&gt;="&amp;U$4)+SUMIFS(AnnualCommitments[После первой оплаты / мес],AnnualCommitments[Активно],"Да",AnnualCommitments[Повтор],"Ежегодный",AnnualCommitments[Ближайшая дата],"&lt;"&amp;U$4)</x:f>
        <x:v>9000</x:v>
      </x:c>
      <x:c r="V9" s="139" t="n">
        <x:f>SUMIFS(AnnualCommitments[Откладывать / мес],AnnualCommitments[Активно],"Да",AnnualCommitments[Ближайшая дата],"&gt;="&amp;V$4)+SUMIFS(AnnualCommitments[После первой оплаты / мес],AnnualCommitments[Активно],"Да",AnnualCommitments[Повтор],"Ежегодный",AnnualCommitments[Ближайшая дата],"&lt;"&amp;V$4)</x:f>
        <x:v>9000</x:v>
      </x:c>
      <x:c r="W9" s="139" t="n">
        <x:f>SUMIFS(AnnualCommitments[Откладывать / мес],AnnualCommitments[Активно],"Да",AnnualCommitments[Ближайшая дата],"&gt;="&amp;W$4)+SUMIFS(AnnualCommitments[После первой оплаты / мес],AnnualCommitments[Активно],"Да",AnnualCommitments[Повтор],"Ежегодный",AnnualCommitments[Ближайшая дата],"&lt;"&amp;W$4)</x:f>
        <x:v>9000</x:v>
      </x:c>
      <x:c r="X9" s="139" t="n">
        <x:f>SUMIFS(AnnualCommitments[Откладывать / мес],AnnualCommitments[Активно],"Да",AnnualCommitments[Ближайшая дата],"&gt;="&amp;X$4)+SUMIFS(AnnualCommitments[После первой оплаты / мес],AnnualCommitments[Активно],"Да",AnnualCommitments[Повтор],"Ежегодный",AnnualCommitments[Ближайшая дата],"&lt;"&amp;X$4)</x:f>
        <x:v>9000</x:v>
      </x:c>
      <x:c r="Y9" s="139" t="n">
        <x:f>SUMIFS(AnnualCommitments[Откладывать / мес],AnnualCommitments[Активно],"Да",AnnualCommitments[Ближайшая дата],"&gt;="&amp;Y$4)+SUMIFS(AnnualCommitments[После первой оплаты / мес],AnnualCommitments[Активно],"Да",AnnualCommitments[Повтор],"Ежегодный",AnnualCommitments[Ближайшая дата],"&lt;"&amp;Y$4)</x:f>
        <x:v>9000</x:v>
      </x:c>
    </x:row>
    <x:row r="10" ht="34" customHeight="1">
      <x:c r="A10" s="212" t="str">
        <x:v>В цели</x:v>
      </x:c>
      <x:c r="B10" s="139" t="n">
        <x:f>SUMIFS(Goals[В месяц],Goals[Активно],"Да")</x:f>
        <x:v>10000</x:v>
      </x:c>
      <x:c r="C10" s="139" t="n">
        <x:f>SUMIFS(Goals[В месяц],Goals[Активно],"Да")</x:f>
        <x:v>10000</x:v>
      </x:c>
      <x:c r="D10" s="139" t="n">
        <x:f>SUMIFS(Goals[В месяц],Goals[Активно],"Да")</x:f>
        <x:v>10000</x:v>
      </x:c>
      <x:c r="E10" s="139" t="n">
        <x:f>SUMIFS(Goals[В месяц],Goals[Активно],"Да")</x:f>
        <x:v>10000</x:v>
      </x:c>
      <x:c r="F10" s="139" t="n">
        <x:f>SUMIFS(Goals[В месяц],Goals[Активно],"Да")</x:f>
        <x:v>10000</x:v>
      </x:c>
      <x:c r="G10" s="139" t="n">
        <x:f>SUMIFS(Goals[В месяц],Goals[Активно],"Да")</x:f>
        <x:v>10000</x:v>
      </x:c>
      <x:c r="H10" s="139" t="n">
        <x:f>SUMIFS(Goals[В месяц],Goals[Активно],"Да")</x:f>
        <x:v>10000</x:v>
      </x:c>
      <x:c r="I10" s="139" t="n">
        <x:f>SUMIFS(Goals[В месяц],Goals[Активно],"Да")</x:f>
        <x:v>10000</x:v>
      </x:c>
      <x:c r="J10" s="139" t="n">
        <x:f>SUMIFS(Goals[В месяц],Goals[Активно],"Да")</x:f>
        <x:v>10000</x:v>
      </x:c>
      <x:c r="K10" s="139" t="n">
        <x:f>SUMIFS(Goals[В месяц],Goals[Активно],"Да")</x:f>
        <x:v>10000</x:v>
      </x:c>
      <x:c r="L10" s="139" t="n">
        <x:f>SUMIFS(Goals[В месяц],Goals[Активно],"Да")</x:f>
        <x:v>10000</x:v>
      </x:c>
      <x:c r="M10" s="139" t="n">
        <x:f>SUMIFS(Goals[В месяц],Goals[Активно],"Да")</x:f>
        <x:v>10000</x:v>
      </x:c>
      <x:c r="N10" s="139" t="n">
        <x:f>SUMIFS(Goals[В месяц],Goals[Активно],"Да")</x:f>
        <x:v>10000</x:v>
      </x:c>
      <x:c r="O10" s="139" t="n">
        <x:f>SUMIFS(Goals[В месяц],Goals[Активно],"Да")</x:f>
        <x:v>10000</x:v>
      </x:c>
      <x:c r="P10" s="139" t="n">
        <x:f>SUMIFS(Goals[В месяц],Goals[Активно],"Да")</x:f>
        <x:v>10000</x:v>
      </x:c>
      <x:c r="Q10" s="139" t="n">
        <x:f>SUMIFS(Goals[В месяц],Goals[Активно],"Да")</x:f>
        <x:v>10000</x:v>
      </x:c>
      <x:c r="R10" s="139" t="n">
        <x:f>SUMIFS(Goals[В месяц],Goals[Активно],"Да")</x:f>
        <x:v>10000</x:v>
      </x:c>
      <x:c r="S10" s="139" t="n">
        <x:f>SUMIFS(Goals[В месяц],Goals[Активно],"Да")</x:f>
        <x:v>10000</x:v>
      </x:c>
      <x:c r="T10" s="139" t="n">
        <x:f>SUMIFS(Goals[В месяц],Goals[Активно],"Да")</x:f>
        <x:v>10000</x:v>
      </x:c>
      <x:c r="U10" s="139" t="n">
        <x:f>SUMIFS(Goals[В месяц],Goals[Активно],"Да")</x:f>
        <x:v>10000</x:v>
      </x:c>
      <x:c r="V10" s="139" t="n">
        <x:f>SUMIFS(Goals[В месяц],Goals[Активно],"Да")</x:f>
        <x:v>10000</x:v>
      </x:c>
      <x:c r="W10" s="139" t="n">
        <x:f>SUMIFS(Goals[В месяц],Goals[Активно],"Да")</x:f>
        <x:v>10000</x:v>
      </x:c>
      <x:c r="X10" s="139" t="n">
        <x:f>SUMIFS(Goals[В месяц],Goals[Активно],"Да")</x:f>
        <x:v>10000</x:v>
      </x:c>
      <x:c r="Y10" s="139" t="n">
        <x:f>SUMIFS(Goals[В месяц],Goals[Активно],"Да")</x:f>
        <x:v>10000</x:v>
      </x:c>
    </x:row>
    <x:row r="11" ht="34" customHeight="1">
      <x:c r="A11" s="212" t="str">
        <x:v>Всего запланировано</x:v>
      </x:c>
      <x:c r="B11" s="139" t="n">
        <x:f>SUM(B6:B10)</x:f>
        <x:v>135809</x:v>
      </x:c>
      <x:c r="C11" s="139" t="n">
        <x:f>SUM(C6:C10)</x:f>
        <x:v>135809</x:v>
      </x:c>
      <x:c r="D11" s="139" t="n">
        <x:f>SUM(D6:D10)</x:f>
        <x:v>166809</x:v>
      </x:c>
      <x:c r="E11" s="139" t="n">
        <x:f>SUM(E6:E10)</x:f>
        <x:v>166809</x:v>
      </x:c>
      <x:c r="F11" s="139" t="n">
        <x:f>SUM(F6:F10)</x:f>
        <x:v>166809</x:v>
      </x:c>
      <x:c r="G11" s="139" t="n">
        <x:f>SUM(G6:G10)</x:f>
        <x:v>166809</x:v>
      </x:c>
      <x:c r="H11" s="139" t="n">
        <x:f>SUM(H6:H10)</x:f>
        <x:v>166809</x:v>
      </x:c>
      <x:c r="I11" s="139" t="n">
        <x:f>SUM(I6:I10)</x:f>
        <x:v>162523</x:v>
      </x:c>
      <x:c r="J11" s="139" t="n">
        <x:f>SUM(J6:J10)</x:f>
        <x:v>162523</x:v>
      </x:c>
      <x:c r="K11" s="139" t="n">
        <x:f>SUM(K6:K10)</x:f>
        <x:v>162523</x:v>
      </x:c>
      <x:c r="L11" s="139" t="n">
        <x:f>SUM(L6:L10)</x:f>
        <x:v>162523</x:v>
      </x:c>
      <x:c r="M11" s="139" t="n">
        <x:f>SUM(M6:M10)</x:f>
        <x:v>131250</x:v>
      </x:c>
      <x:c r="N11" s="139" t="n">
        <x:f>SUM(N6:N10)</x:f>
        <x:v>125000</x:v>
      </x:c>
      <x:c r="O11" s="139" t="n">
        <x:f>SUM(O6:O10)</x:f>
        <x:v>125000</x:v>
      </x:c>
      <x:c r="P11" s="139" t="n">
        <x:f>SUM(P6:P10)</x:f>
        <x:v>156000</x:v>
      </x:c>
      <x:c r="Q11" s="139" t="n">
        <x:f>SUM(Q6:Q10)</x:f>
        <x:v>156000</x:v>
      </x:c>
      <x:c r="R11" s="139" t="n">
        <x:f>SUM(R6:R10)</x:f>
        <x:v>156000</x:v>
      </x:c>
      <x:c r="S11" s="139" t="n">
        <x:f>SUM(S6:S10)</x:f>
        <x:v>156000</x:v>
      </x:c>
      <x:c r="T11" s="139" t="n">
        <x:f>SUM(T6:T10)</x:f>
        <x:v>156000</x:v>
      </x:c>
      <x:c r="U11" s="139" t="n">
        <x:f>SUM(U6:U10)</x:f>
        <x:v>156000</x:v>
      </x:c>
      <x:c r="V11" s="139" t="n">
        <x:f>SUM(V6:V10)</x:f>
        <x:v>156000</x:v>
      </x:c>
      <x:c r="W11" s="139" t="n">
        <x:f>SUM(W6:W10)</x:f>
        <x:v>156000</x:v>
      </x:c>
      <x:c r="X11" s="139" t="n">
        <x:f>SUM(X6:X10)</x:f>
        <x:v>156000</x:v>
      </x:c>
      <x:c r="Y11" s="139" t="n">
        <x:f>SUM(Y6:Y10)</x:f>
        <x:v>125000</x:v>
      </x:c>
    </x:row>
    <x:row r="12" ht="34" customHeight="1">
      <x:c r="A12" s="212" t="str">
        <x:v>Свободно после плана</x:v>
      </x:c>
      <x:c r="B12" s="229" t="n">
        <x:f>B5-B11</x:f>
        <x:v>44191</x:v>
      </x:c>
      <x:c r="C12" s="229" t="n">
        <x:f>C5-C11</x:f>
        <x:v>44191</x:v>
      </x:c>
      <x:c r="D12" s="229" t="n">
        <x:f>D5-D11</x:f>
        <x:v>13191</x:v>
      </x:c>
      <x:c r="E12" s="229" t="n">
        <x:f>E5-E11</x:f>
        <x:v>13191</x:v>
      </x:c>
      <x:c r="F12" s="229" t="n">
        <x:f>F5-F11</x:f>
        <x:v>13191</x:v>
      </x:c>
      <x:c r="G12" s="229" t="n">
        <x:f>G5-G11</x:f>
        <x:v>13191</x:v>
      </x:c>
      <x:c r="H12" s="229" t="n">
        <x:f>H5-H11</x:f>
        <x:v>13191</x:v>
      </x:c>
      <x:c r="I12" s="229" t="n">
        <x:f>I5-I11</x:f>
        <x:v>17477</x:v>
      </x:c>
      <x:c r="J12" s="229" t="n">
        <x:f>J5-J11</x:f>
        <x:v>17477</x:v>
      </x:c>
      <x:c r="K12" s="229" t="n">
        <x:f>K5-K11</x:f>
        <x:v>17477</x:v>
      </x:c>
      <x:c r="L12" s="229" t="n">
        <x:f>L5-L11</x:f>
        <x:v>17477</x:v>
      </x:c>
      <x:c r="M12" s="229" t="n">
        <x:f>M5-M11</x:f>
        <x:v>48750</x:v>
      </x:c>
      <x:c r="N12" s="229" t="n">
        <x:f>N5-N11</x:f>
        <x:v>55000</x:v>
      </x:c>
      <x:c r="O12" s="229" t="n">
        <x:f>O5-O11</x:f>
        <x:v>55000</x:v>
      </x:c>
      <x:c r="P12" s="229" t="n">
        <x:f>P5-P11</x:f>
        <x:v>24000</x:v>
      </x:c>
      <x:c r="Q12" s="229" t="n">
        <x:f>Q5-Q11</x:f>
        <x:v>24000</x:v>
      </x:c>
      <x:c r="R12" s="229" t="n">
        <x:f>R5-R11</x:f>
        <x:v>24000</x:v>
      </x:c>
      <x:c r="S12" s="229" t="n">
        <x:f>S5-S11</x:f>
        <x:v>24000</x:v>
      </x:c>
      <x:c r="T12" s="229" t="n">
        <x:f>T5-T11</x:f>
        <x:v>24000</x:v>
      </x:c>
      <x:c r="U12" s="229" t="n">
        <x:f>U5-U11</x:f>
        <x:v>24000</x:v>
      </x:c>
      <x:c r="V12" s="229" t="n">
        <x:f>V5-V11</x:f>
        <x:v>24000</x:v>
      </x:c>
      <x:c r="W12" s="229" t="n">
        <x:f>W5-W11</x:f>
        <x:v>24000</x:v>
      </x:c>
      <x:c r="X12" s="229" t="n">
        <x:f>X5-X11</x:f>
        <x:v>24000</x:v>
      </x:c>
      <x:c r="Y12" s="229" t="n">
        <x:f>Y5-Y11</x:f>
        <x:v>55000</x:v>
      </x:c>
    </x:row>
    <x:row r="13" ht="34" customHeight="1">
      <x:c r="A13" s="212" t="str">
        <x:v>Платежи из резерва</x:v>
      </x:c>
      <x:c r="B13" s="230" t="n">
        <x:f>SUMIFS(AnnualCommitments[Сумма],AnnualCommitments[Активно],"Да",AnnualCommitments[Ближайшая дата],"&gt;="&amp;B$4,AnnualCommitments[Ближайшая дата],"&lt;"&amp;DATE(YEAR(B$4),MONTH(B$4)+1,1))+SUMIFS(AnnualCommitments[Сумма],AnnualCommitments[Активно],"Да",AnnualCommitments[Повтор],"Ежегодный",AnnualCommitments[Месяц оплаты],MONTH(B$4),AnnualCommitments[Ближайшая дата],"&lt;"&amp;B$4)</x:f>
        <x:v>0</x:v>
      </x:c>
      <x:c r="C13" s="230" t="n">
        <x:f>SUMIFS(AnnualCommitments[Сумма],AnnualCommitments[Активно],"Да",AnnualCommitments[Ближайшая дата],"&gt;="&amp;C$4,AnnualCommitments[Ближайшая дата],"&lt;"&amp;DATE(YEAR(C$4),MONTH(C$4)+1,1))+SUMIFS(AnnualCommitments[Сумма],AnnualCommitments[Активно],"Да",AnnualCommitments[Повтор],"Ежегодный",AnnualCommitments[Месяц оплаты],MONTH(C$4),AnnualCommitments[Ближайшая дата],"&lt;"&amp;C$4)</x:f>
        <x:v>0</x:v>
      </x:c>
      <x:c r="D13" s="230" t="n">
        <x:f>SUMIFS(AnnualCommitments[Сумма],AnnualCommitments[Активно],"Да",AnnualCommitments[Ближайшая дата],"&gt;="&amp;D$4,AnnualCommitments[Ближайшая дата],"&lt;"&amp;DATE(YEAR(D$4),MONTH(D$4)+1,1))+SUMIFS(AnnualCommitments[Сумма],AnnualCommitments[Активно],"Да",AnnualCommitments[Повтор],"Ежегодный",AnnualCommitments[Месяц оплаты],MONTH(D$4),AnnualCommitments[Ближайшая дата],"&lt;"&amp;D$4)</x:f>
        <x:v>0</x:v>
      </x:c>
      <x:c r="E13" s="230" t="n">
        <x:f>SUMIFS(AnnualCommitments[Сумма],AnnualCommitments[Активно],"Да",AnnualCommitments[Ближайшая дата],"&gt;="&amp;E$4,AnnualCommitments[Ближайшая дата],"&lt;"&amp;DATE(YEAR(E$4),MONTH(E$4)+1,1))+SUMIFS(AnnualCommitments[Сумма],AnnualCommitments[Активно],"Да",AnnualCommitments[Повтор],"Ежегодный",AnnualCommitments[Месяц оплаты],MONTH(E$4),AnnualCommitments[Ближайшая дата],"&lt;"&amp;E$4)</x:f>
        <x:v>0</x:v>
      </x:c>
      <x:c r="F13" s="230" t="n">
        <x:f>SUMIFS(AnnualCommitments[Сумма],AnnualCommitments[Активно],"Да",AnnualCommitments[Ближайшая дата],"&gt;="&amp;F$4,AnnualCommitments[Ближайшая дата],"&lt;"&amp;DATE(YEAR(F$4),MONTH(F$4)+1,1))+SUMIFS(AnnualCommitments[Сумма],AnnualCommitments[Активно],"Да",AnnualCommitments[Повтор],"Ежегодный",AnnualCommitments[Месяц оплаты],MONTH(F$4),AnnualCommitments[Ближайшая дата],"&lt;"&amp;F$4)</x:f>
        <x:v>0</x:v>
      </x:c>
      <x:c r="G13" s="230" t="n">
        <x:f>SUMIFS(AnnualCommitments[Сумма],AnnualCommitments[Активно],"Да",AnnualCommitments[Ближайшая дата],"&gt;="&amp;G$4,AnnualCommitments[Ближайшая дата],"&lt;"&amp;DATE(YEAR(G$4),MONTH(G$4)+1,1))+SUMIFS(AnnualCommitments[Сумма],AnnualCommitments[Активно],"Да",AnnualCommitments[Повтор],"Ежегодный",AnnualCommitments[Месяц оплаты],MONTH(G$4),AnnualCommitments[Ближайшая дата],"&lt;"&amp;G$4)</x:f>
        <x:v>0</x:v>
      </x:c>
      <x:c r="H13" s="230" t="n">
        <x:f>SUMIFS(AnnualCommitments[Сумма],AnnualCommitments[Активно],"Да",AnnualCommitments[Ближайшая дата],"&gt;="&amp;H$4,AnnualCommitments[Ближайшая дата],"&lt;"&amp;DATE(YEAR(H$4),MONTH(H$4)+1,1))+SUMIFS(AnnualCommitments[Сумма],AnnualCommitments[Активно],"Да",AnnualCommitments[Повтор],"Ежегодный",AnnualCommitments[Месяц оплаты],MONTH(H$4),AnnualCommitments[Ближайшая дата],"&lt;"&amp;H$4)</x:f>
        <x:v>72000</x:v>
      </x:c>
      <x:c r="I13" s="230" t="n">
        <x:f>SUMIFS(AnnualCommitments[Сумма],AnnualCommitments[Активно],"Да",AnnualCommitments[Ближайшая дата],"&gt;="&amp;I$4,AnnualCommitments[Ближайшая дата],"&lt;"&amp;DATE(YEAR(I$4),MONTH(I$4)+1,1))+SUMIFS(AnnualCommitments[Сумма],AnnualCommitments[Активно],"Да",AnnualCommitments[Повтор],"Ежегодный",AnnualCommitments[Месяц оплаты],MONTH(I$4),AnnualCommitments[Ближайшая дата],"&lt;"&amp;I$4)</x:f>
        <x:v>0</x:v>
      </x:c>
      <x:c r="J13" s="230" t="n">
        <x:f>SUMIFS(AnnualCommitments[Сумма],AnnualCommitments[Активно],"Да",AnnualCommitments[Ближайшая дата],"&gt;="&amp;J$4,AnnualCommitments[Ближайшая дата],"&lt;"&amp;DATE(YEAR(J$4),MONTH(J$4)+1,1))+SUMIFS(AnnualCommitments[Сумма],AnnualCommitments[Активно],"Да",AnnualCommitments[Повтор],"Ежегодный",AnnualCommitments[Месяц оплаты],MONTH(J$4),AnnualCommitments[Ближайшая дата],"&lt;"&amp;J$4)</x:f>
        <x:v>0</x:v>
      </x:c>
      <x:c r="K13" s="230" t="n">
        <x:f>SUMIFS(AnnualCommitments[Сумма],AnnualCommitments[Активно],"Да",AnnualCommitments[Ближайшая дата],"&gt;="&amp;K$4,AnnualCommitments[Ближайшая дата],"&lt;"&amp;DATE(YEAR(K$4),MONTH(K$4)+1,1))+SUMIFS(AnnualCommitments[Сумма],AnnualCommitments[Активно],"Да",AnnualCommitments[Повтор],"Ежегодный",AnnualCommitments[Месяц оплаты],MONTH(K$4),AnnualCommitments[Ближайшая дата],"&lt;"&amp;K$4)</x:f>
        <x:v>0</x:v>
      </x:c>
      <x:c r="L13" s="230" t="n">
        <x:f>SUMIFS(AnnualCommitments[Сумма],AnnualCommitments[Активно],"Да",AnnualCommitments[Ближайшая дата],"&gt;="&amp;L$4,AnnualCommitments[Ближайшая дата],"&lt;"&amp;DATE(YEAR(L$4),MONTH(L$4)+1,1))+SUMIFS(AnnualCommitments[Сумма],AnnualCommitments[Активно],"Да",AnnualCommitments[Повтор],"Ежегодный",AnnualCommitments[Месяц оплаты],MONTH(L$4),AnnualCommitments[Ближайшая дата],"&lt;"&amp;L$4)</x:f>
        <x:v>36000</x:v>
      </x:c>
      <x:c r="M13" s="230" t="n">
        <x:f>SUMIFS(AnnualCommitments[Сумма],AnnualCommitments[Активно],"Да",AnnualCommitments[Ближайшая дата],"&gt;="&amp;M$4,AnnualCommitments[Ближайшая дата],"&lt;"&amp;DATE(YEAR(M$4),MONTH(M$4)+1,1))+SUMIFS(AnnualCommitments[Сумма],AnnualCommitments[Активно],"Да",AnnualCommitments[Повтор],"Ежегодный",AnnualCommitments[Месяц оплаты],MONTH(M$4),AnnualCommitments[Ближайшая дата],"&lt;"&amp;M$4)</x:f>
        <x:v>90000</x:v>
      </x:c>
      <x:c r="N13" s="230" t="n">
        <x:f>SUMIFS(AnnualCommitments[Сумма],AnnualCommitments[Активно],"Да",AnnualCommitments[Ближайшая дата],"&gt;="&amp;N$4,AnnualCommitments[Ближайшая дата],"&lt;"&amp;DATE(YEAR(N$4),MONTH(N$4)+1,1))+SUMIFS(AnnualCommitments[Сумма],AnnualCommitments[Активно],"Да",AnnualCommitments[Повтор],"Ежегодный",AnnualCommitments[Месяц оплаты],MONTH(N$4),AnnualCommitments[Ближайшая дата],"&lt;"&amp;N$4)</x:f>
        <x:v>0</x:v>
      </x:c>
      <x:c r="O13" s="230" t="n">
        <x:f>SUMIFS(AnnualCommitments[Сумма],AnnualCommitments[Активно],"Да",AnnualCommitments[Ближайшая дата],"&gt;="&amp;O$4,AnnualCommitments[Ближайшая дата],"&lt;"&amp;DATE(YEAR(O$4),MONTH(O$4)+1,1))+SUMIFS(AnnualCommitments[Сумма],AnnualCommitments[Активно],"Да",AnnualCommitments[Повтор],"Ежегодный",AnnualCommitments[Месяц оплаты],MONTH(O$4),AnnualCommitments[Ближайшая дата],"&lt;"&amp;O$4)</x:f>
        <x:v>0</x:v>
      </x:c>
      <x:c r="P13" s="230" t="n">
        <x:f>SUMIFS(AnnualCommitments[Сумма],AnnualCommitments[Активно],"Да",AnnualCommitments[Ближайшая дата],"&gt;="&amp;P$4,AnnualCommitments[Ближайшая дата],"&lt;"&amp;DATE(YEAR(P$4),MONTH(P$4)+1,1))+SUMIFS(AnnualCommitments[Сумма],AnnualCommitments[Активно],"Да",AnnualCommitments[Повтор],"Ежегодный",AnnualCommitments[Месяц оплаты],MONTH(P$4),AnnualCommitments[Ближайшая дата],"&lt;"&amp;P$4)</x:f>
        <x:v>0</x:v>
      </x:c>
      <x:c r="Q13" s="230" t="n">
        <x:f>SUMIFS(AnnualCommitments[Сумма],AnnualCommitments[Активно],"Да",AnnualCommitments[Ближайшая дата],"&gt;="&amp;Q$4,AnnualCommitments[Ближайшая дата],"&lt;"&amp;DATE(YEAR(Q$4),MONTH(Q$4)+1,1))+SUMIFS(AnnualCommitments[Сумма],AnnualCommitments[Активно],"Да",AnnualCommitments[Повтор],"Ежегодный",AnnualCommitments[Месяц оплаты],MONTH(Q$4),AnnualCommitments[Ближайшая дата],"&lt;"&amp;Q$4)</x:f>
        <x:v>0</x:v>
      </x:c>
      <x:c r="R13" s="230" t="n">
        <x:f>SUMIFS(AnnualCommitments[Сумма],AnnualCommitments[Активно],"Да",AnnualCommitments[Ближайшая дата],"&gt;="&amp;R$4,AnnualCommitments[Ближайшая дата],"&lt;"&amp;DATE(YEAR(R$4),MONTH(R$4)+1,1))+SUMIFS(AnnualCommitments[Сумма],AnnualCommitments[Активно],"Да",AnnualCommitments[Повтор],"Ежегодный",AnnualCommitments[Месяц оплаты],MONTH(R$4),AnnualCommitments[Ближайшая дата],"&lt;"&amp;R$4)</x:f>
        <x:v>0</x:v>
      </x:c>
      <x:c r="S13" s="230" t="n">
        <x:f>SUMIFS(AnnualCommitments[Сумма],AnnualCommitments[Активно],"Да",AnnualCommitments[Ближайшая дата],"&gt;="&amp;S$4,AnnualCommitments[Ближайшая дата],"&lt;"&amp;DATE(YEAR(S$4),MONTH(S$4)+1,1))+SUMIFS(AnnualCommitments[Сумма],AnnualCommitments[Активно],"Да",AnnualCommitments[Повтор],"Ежегодный",AnnualCommitments[Месяц оплаты],MONTH(S$4),AnnualCommitments[Ближайшая дата],"&lt;"&amp;S$4)</x:f>
        <x:v>0</x:v>
      </x:c>
      <x:c r="T13" s="230" t="n">
        <x:f>SUMIFS(AnnualCommitments[Сумма],AnnualCommitments[Активно],"Да",AnnualCommitments[Ближайшая дата],"&gt;="&amp;T$4,AnnualCommitments[Ближайшая дата],"&lt;"&amp;DATE(YEAR(T$4),MONTH(T$4)+1,1))+SUMIFS(AnnualCommitments[Сумма],AnnualCommitments[Активно],"Да",AnnualCommitments[Повтор],"Ежегодный",AnnualCommitments[Месяц оплаты],MONTH(T$4),AnnualCommitments[Ближайшая дата],"&lt;"&amp;T$4)</x:f>
        <x:v>72000</x:v>
      </x:c>
      <x:c r="U13" s="230" t="n">
        <x:f>SUMIFS(AnnualCommitments[Сумма],AnnualCommitments[Активно],"Да",AnnualCommitments[Ближайшая дата],"&gt;="&amp;U$4,AnnualCommitments[Ближайшая дата],"&lt;"&amp;DATE(YEAR(U$4),MONTH(U$4)+1,1))+SUMIFS(AnnualCommitments[Сумма],AnnualCommitments[Активно],"Да",AnnualCommitments[Повтор],"Ежегодный",AnnualCommitments[Месяц оплаты],MONTH(U$4),AnnualCommitments[Ближайшая дата],"&lt;"&amp;U$4)</x:f>
        <x:v>0</x:v>
      </x:c>
      <x:c r="V13" s="230" t="n">
        <x:f>SUMIFS(AnnualCommitments[Сумма],AnnualCommitments[Активно],"Да",AnnualCommitments[Ближайшая дата],"&gt;="&amp;V$4,AnnualCommitments[Ближайшая дата],"&lt;"&amp;DATE(YEAR(V$4),MONTH(V$4)+1,1))+SUMIFS(AnnualCommitments[Сумма],AnnualCommitments[Активно],"Да",AnnualCommitments[Повтор],"Ежегодный",AnnualCommitments[Месяц оплаты],MONTH(V$4),AnnualCommitments[Ближайшая дата],"&lt;"&amp;V$4)</x:f>
        <x:v>0</x:v>
      </x:c>
      <x:c r="W13" s="230" t="n">
        <x:f>SUMIFS(AnnualCommitments[Сумма],AnnualCommitments[Активно],"Да",AnnualCommitments[Ближайшая дата],"&gt;="&amp;W$4,AnnualCommitments[Ближайшая дата],"&lt;"&amp;DATE(YEAR(W$4),MONTH(W$4)+1,1))+SUMIFS(AnnualCommitments[Сумма],AnnualCommitments[Активно],"Да",AnnualCommitments[Повтор],"Ежегодный",AnnualCommitments[Месяц оплаты],MONTH(W$4),AnnualCommitments[Ближайшая дата],"&lt;"&amp;W$4)</x:f>
        <x:v>0</x:v>
      </x:c>
      <x:c r="X13" s="230" t="n">
        <x:f>SUMIFS(AnnualCommitments[Сумма],AnnualCommitments[Активно],"Да",AnnualCommitments[Ближайшая дата],"&gt;="&amp;X$4,AnnualCommitments[Ближайшая дата],"&lt;"&amp;DATE(YEAR(X$4),MONTH(X$4)+1,1))+SUMIFS(AnnualCommitments[Сумма],AnnualCommitments[Активно],"Да",AnnualCommitments[Повтор],"Ежегодный",AnnualCommitments[Месяц оплаты],MONTH(X$4),AnnualCommitments[Ближайшая дата],"&lt;"&amp;X$4)</x:f>
        <x:v>36000</x:v>
      </x:c>
      <x:c r="Y13" s="230" t="n">
        <x:f>SUMIFS(AnnualCommitments[Сумма],AnnualCommitments[Активно],"Да",AnnualCommitments[Ближайшая дата],"&gt;="&amp;Y$4,AnnualCommitments[Ближайшая дата],"&lt;"&amp;DATE(YEAR(Y$4),MONTH(Y$4)+1,1))+SUMIFS(AnnualCommitments[Сумма],AnnualCommitments[Активно],"Да",AnnualCommitments[Повтор],"Ежегодный",AnnualCommitments[Месяц оплаты],MONTH(Y$4),AnnualCommitments[Ближайшая дата],"&lt;"&amp;Y$4)</x:f>
        <x:v>0</x:v>
      </x:c>
    </x:row>
    <x:row r="14" ht="34" customHeight="1">
      <x:c r="A14" s="212" t="str">
        <x:v>Статус</x:v>
      </x:c>
      <x:c r="B14" s="138" t="str">
        <x:f>IF(B12&lt;0,"Дефицит",IF(B12&lt;B5*0.1,"Мало запаса","Запас есть"))</x:f>
        <x:v>Запас есть</x:v>
      </x:c>
      <x:c r="C14" s="138" t="str">
        <x:f>IF(C12&lt;0,"Дефицит",IF(C12&lt;C5*0.1,"Мало запаса","Запас есть"))</x:f>
        <x:v>Запас есть</x:v>
      </x:c>
      <x:c r="D14" s="138" t="str">
        <x:f>IF(D12&lt;0,"Дефицит",IF(D12&lt;D5*0.1,"Мало запаса","Запас есть"))</x:f>
        <x:v>Мало запаса</x:v>
      </x:c>
      <x:c r="E14" s="138" t="str">
        <x:f>IF(E12&lt;0,"Дефицит",IF(E12&lt;E5*0.1,"Мало запаса","Запас есть"))</x:f>
        <x:v>Мало запаса</x:v>
      </x:c>
      <x:c r="F14" s="138" t="str">
        <x:f>IF(F12&lt;0,"Дефицит",IF(F12&lt;F5*0.1,"Мало запаса","Запас есть"))</x:f>
        <x:v>Мало запаса</x:v>
      </x:c>
      <x:c r="G14" s="138" t="str">
        <x:f>IF(G12&lt;0,"Дефицит",IF(G12&lt;G5*0.1,"Мало запаса","Запас есть"))</x:f>
        <x:v>Мало запаса</x:v>
      </x:c>
      <x:c r="H14" s="138" t="str">
        <x:f>IF(H12&lt;0,"Дефицит",IF(H12&lt;H5*0.1,"Мало запаса","Запас есть"))</x:f>
        <x:v>Мало запаса</x:v>
      </x:c>
      <x:c r="I14" s="138" t="str">
        <x:f>IF(I12&lt;0,"Дефицит",IF(I12&lt;I5*0.1,"Мало запаса","Запас есть"))</x:f>
        <x:v>Мало запаса</x:v>
      </x:c>
      <x:c r="J14" s="138" t="str">
        <x:f>IF(J12&lt;0,"Дефицит",IF(J12&lt;J5*0.1,"Мало запаса","Запас есть"))</x:f>
        <x:v>Мало запаса</x:v>
      </x:c>
      <x:c r="K14" s="138" t="str">
        <x:f>IF(K12&lt;0,"Дефицит",IF(K12&lt;K5*0.1,"Мало запаса","Запас есть"))</x:f>
        <x:v>Мало запаса</x:v>
      </x:c>
      <x:c r="L14" s="138" t="str">
        <x:f>IF(L12&lt;0,"Дефицит",IF(L12&lt;L5*0.1,"Мало запаса","Запас есть"))</x:f>
        <x:v>Мало запаса</x:v>
      </x:c>
      <x:c r="M14" s="138" t="str">
        <x:f>IF(M12&lt;0,"Дефицит",IF(M12&lt;M5*0.1,"Мало запаса","Запас есть"))</x:f>
        <x:v>Запас есть</x:v>
      </x:c>
      <x:c r="N14" s="138" t="str">
        <x:f>IF(N12&lt;0,"Дефицит",IF(N12&lt;N5*0.1,"Мало запаса","Запас есть"))</x:f>
        <x:v>Запас есть</x:v>
      </x:c>
      <x:c r="O14" s="138" t="str">
        <x:f>IF(O12&lt;0,"Дефицит",IF(O12&lt;O5*0.1,"Мало запаса","Запас есть"))</x:f>
        <x:v>Запас есть</x:v>
      </x:c>
      <x:c r="P14" s="138" t="str">
        <x:f>IF(P12&lt;0,"Дефицит",IF(P12&lt;P5*0.1,"Мало запаса","Запас есть"))</x:f>
        <x:v>Запас есть</x:v>
      </x:c>
      <x:c r="Q14" s="138" t="str">
        <x:f>IF(Q12&lt;0,"Дефицит",IF(Q12&lt;Q5*0.1,"Мало запаса","Запас есть"))</x:f>
        <x:v>Запас есть</x:v>
      </x:c>
      <x:c r="R14" s="138" t="str">
        <x:f>IF(R12&lt;0,"Дефицит",IF(R12&lt;R5*0.1,"Мало запаса","Запас есть"))</x:f>
        <x:v>Запас есть</x:v>
      </x:c>
      <x:c r="S14" s="138" t="str">
        <x:f>IF(S12&lt;0,"Дефицит",IF(S12&lt;S5*0.1,"Мало запаса","Запас есть"))</x:f>
        <x:v>Запас есть</x:v>
      </x:c>
      <x:c r="T14" s="138" t="str">
        <x:f>IF(T12&lt;0,"Дефицит",IF(T12&lt;T5*0.1,"Мало запаса","Запас есть"))</x:f>
        <x:v>Запас есть</x:v>
      </x:c>
      <x:c r="U14" s="138" t="str">
        <x:f>IF(U12&lt;0,"Дефицит",IF(U12&lt;U5*0.1,"Мало запаса","Запас есть"))</x:f>
        <x:v>Запас есть</x:v>
      </x:c>
      <x:c r="V14" s="138" t="str">
        <x:f>IF(V12&lt;0,"Дефицит",IF(V12&lt;V5*0.1,"Мало запаса","Запас есть"))</x:f>
        <x:v>Запас есть</x:v>
      </x:c>
      <x:c r="W14" s="138" t="str">
        <x:f>IF(W12&lt;0,"Дефицит",IF(W12&lt;W5*0.1,"Мало запаса","Запас есть"))</x:f>
        <x:v>Запас есть</x:v>
      </x:c>
      <x:c r="X14" s="138" t="str">
        <x:f>IF(X12&lt;0,"Дефицит",IF(X12&lt;X5*0.1,"Мало запаса","Запас есть"))</x:f>
        <x:v>Запас есть</x:v>
      </x:c>
      <x:c r="Y14" s="138" t="str">
        <x:f>IF(Y12&lt;0,"Дефицит",IF(Y12&lt;Y5*0.1,"Мало запаса","Запас есть"))</x:f>
        <x:v>Запас есть</x:v>
      </x:c>
    </x:row>
  </x:sheetData>
  <x:mergeCells>
    <x:mergeCell ref="A1:Y1"/>
    <x:mergeCell ref="A3:Y3"/>
  </x:mergeCells>
  <x:conditionalFormatting sqref="B14:Y14">
    <x:cfRule type="containsText" dxfId="4" priority="1" operator="containsText" text="Дефицит"/>
    <x:cfRule type="containsText" dxfId="5" priority="2" operator="containsText" text="Мало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16" hidden="0" customWidth="1"/>
    <x:col min="4" max="4" width="17" hidden="0" customWidth="1"/>
    <x:col min="5" max="5" width="16" hidden="0" customWidth="1"/>
    <x:col min="6" max="6" width="17" hidden="0" customWidth="1"/>
    <x:col min="7" max="7" width="14" hidden="0" customWidth="1"/>
    <x:col min="8" max="8" width="20" hidden="0" customWidth="1"/>
    <x:col min="9" max="9" width="15" hidden="0" customWidth="1"/>
    <x:col min="10" max="10" width="12" hidden="0" customWidth="1"/>
    <x:col min="11" max="11" width="14" hidden="0" customWidth="1"/>
    <x:col min="12" max="12" width="25" hidden="0" customWidth="1"/>
  </x:cols>
  <x:sheetData>
    <x:row r="1" ht="38" customHeight="1">
      <x:c r="A1" s="4" t="str">
        <x:v>Крупные и ежегодные платежи</x:v>
      </x:c>
      <x:c r="B1" s="4" t="str">
        <x:v>Крупные и ежегодные платежи</x:v>
      </x:c>
      <x:c r="C1" s="4" t="str">
        <x:v>Крупные и ежегодные платежи</x:v>
      </x:c>
      <x:c r="D1" s="4" t="str">
        <x:v>Крупные и ежегодные платежи</x:v>
      </x:c>
      <x:c r="E1" s="4" t="str">
        <x:v>Крупные и ежегодные платежи</x:v>
      </x:c>
      <x:c r="F1" s="4" t="str">
        <x:v>Крупные и ежегодные платежи</x:v>
      </x:c>
      <x:c r="G1" s="4" t="str">
        <x:v>Крупные и ежегодные платежи</x:v>
      </x:c>
      <x:c r="H1" s="4" t="str">
        <x:v>Крупные и ежегодные платежи</x:v>
      </x:c>
      <x:c r="I1" s="4" t="str">
        <x:v>Крупные и ежегодные платежи</x:v>
      </x:c>
      <x:c r="J1" s="4" t="str">
        <x:v>Крупные и ежегодные платежи</x:v>
      </x:c>
      <x:c r="K1" s="4" t="str">
        <x:v>Крупные и ежегодные платежи</x:v>
      </x:c>
      <x:c r="L1" s="4" t="str">
        <x:v>Крупные и ежегодные платежи</x:v>
      </x:c>
    </x:row>
    <x:row r="3">
      <x:c r="A3" s="65" t="str">
        <x:v>Введите ближайшую дату. Для ежегодного платежа план продолжит резервирование после первой оплаты; разовый завершится.</x:v>
      </x:c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</x:row>
    <x:row r="5" ht="34" customHeight="1">
      <x:c r="A5" s="37" t="str">
        <x:v>Название</x:v>
      </x:c>
      <x:c r="B5" s="38" t="str">
        <x:v>Категория</x:v>
      </x:c>
      <x:c r="C5" s="38" t="str">
        <x:v>Повтор</x:v>
      </x:c>
      <x:c r="D5" s="38" t="str">
        <x:v>Ближайшая дата</x:v>
      </x:c>
      <x:c r="E5" s="38" t="str">
        <x:v>Сумма</x:v>
      </x:c>
      <x:c r="F5" s="38" t="str">
        <x:v>Уже накоплено</x:v>
      </x:c>
      <x:c r="G5" s="38" t="str">
        <x:v>Мес. до срока</x:v>
      </x:c>
      <x:c r="H5" s="38" t="str">
        <x:v>Откладывать / мес</x:v>
      </x:c>
      <x:c r="I5" s="38" t="str">
        <x:v>Статус</x:v>
      </x:c>
      <x:c r="J5" s="38" t="str">
        <x:v>Активно</x:v>
      </x:c>
      <x:c r="K5" s="38" t="str">
        <x:v>Месяц оплаты</x:v>
      </x:c>
      <x:c r="L5" s="39" t="str">
        <x:v>После первой оплаты / мес</x:v>
      </x:c>
    </x:row>
    <x:row r="6">
      <x:c r="A6" s="124" t="str">
        <x:v>Страхование автомобиля</x:v>
      </x:c>
      <x:c r="B6" s="125" t="str">
        <x:v>Транспорт</x:v>
      </x:c>
      <x:c r="C6" s="151" t="str">
        <x:v>Ежегодный</x:v>
      </x:c>
      <x:c r="D6" s="126" t="n">
        <x:v>46402</x:v>
      </x:c>
      <x:c r="E6" s="127" t="n">
        <x:v>72000</x:v>
      </x:c>
      <x:c r="F6" s="128" t="n">
        <x:v>0</x:v>
      </x:c>
      <x:c r="G6" s="154" t="n">
        <x:f>IF(OR(A6="",J6&lt;&gt;"Да"),"",MAX(0,(YEAR(D6)-YEAR('Настройки'!$B$3))*12+MONTH(D6)-MONTH('Настройки'!$B$3)+1))</x:f>
        <x:v>7</x:v>
      </x:c>
      <x:c r="H6" s="130" t="n">
        <x:f>IF(A6="","",IF(J6&lt;&gt;"Да",0,IF(E6&lt;=F6,0,IF(G6&gt;0,ROUNDUP((E6-F6)/G6,0),0))))</x:f>
        <x:v>10286</x:v>
      </x:c>
      <x:c r="I6" s="154" t="str">
        <x:f>IF(A6="","",IF(E6&lt;=F6,"Собрано",IF(G6&lt;=0,"Просрочено",IF(G6&lt;=2,"Скоро","По плану"))))</x:f>
        <x:v>По плану</x:v>
      </x:c>
      <x:c r="J6" s="157" t="str">
        <x:v>Да</x:v>
      </x:c>
      <x:c r="K6" s="154" t="n">
        <x:f>IF(D6="","",MONTH(D6))</x:f>
        <x:v>1</x:v>
      </x:c>
      <x:c r="L6" s="132" t="n">
        <x:f>IF(A6="","",IF(AND(J6="Да",C6="Ежегодный"),ROUNDUP(E6/12,0),0))</x:f>
        <x:v>6000</x:v>
      </x:c>
    </x:row>
    <x:row r="7">
      <x:c r="A7" s="133" t="str">
        <x:v>Платёж за загородный дом</x:v>
      </x:c>
      <x:c r="B7" s="134" t="str">
        <x:v>Жильё</x:v>
      </x:c>
      <x:c r="C7" s="152" t="str">
        <x:v>Ежегодный</x:v>
      </x:c>
      <x:c r="D7" s="135" t="n">
        <x:v>46508</x:v>
      </x:c>
      <x:c r="E7" s="136" t="n">
        <x:v>36000</x:v>
      </x:c>
      <x:c r="F7" s="137" t="n">
        <x:v>0</x:v>
      </x:c>
      <x:c r="G7" s="155" t="n">
        <x:f>IF(OR(A7="",J7&lt;&gt;"Да"),"",MAX(0,(YEAR(D7)-YEAR('Настройки'!$B$3))*12+MONTH(D7)-MONTH('Настройки'!$B$3)+1))</x:f>
        <x:v>11</x:v>
      </x:c>
      <x:c r="H7" s="139" t="n">
        <x:f>IF(A7="","",IF(J7&lt;&gt;"Да",0,IF(E7&lt;=F7,0,IF(G7&gt;0,ROUNDUP((E7-F7)/G7,0),0))))</x:f>
        <x:v>3273</x:v>
      </x:c>
      <x:c r="I7" s="155" t="str">
        <x:f>IF(A7="","",IF(E7&lt;=F7,"Собрано",IF(G7&lt;=0,"Просрочено",IF(G7&lt;=2,"Скоро","По плану"))))</x:f>
        <x:v>По плану</x:v>
      </x:c>
      <x:c r="J7" s="158" t="str">
        <x:v>Да</x:v>
      </x:c>
      <x:c r="K7" s="155" t="n">
        <x:f>IF(D7="","",MONTH(D7))</x:f>
        <x:v>5</x:v>
      </x:c>
      <x:c r="L7" s="141" t="n">
        <x:f>IF(A7="","",IF(AND(J7="Да",C7="Ежегодный"),ROUNDUP(E7/12,0),0))</x:f>
        <x:v>3000</x:v>
      </x:c>
    </x:row>
    <x:row r="8">
      <x:c r="A8" s="133" t="str">
        <x:v>Летний лагерь</x:v>
      </x:c>
      <x:c r="B8" s="134" t="str">
        <x:v>Дети</x:v>
      </x:c>
      <x:c r="C8" s="152" t="str">
        <x:v>Разовый</x:v>
      </x:c>
      <x:c r="D8" s="135" t="n">
        <x:v>46553</x:v>
      </x:c>
      <x:c r="E8" s="136" t="n">
        <x:v>90000</x:v>
      </x:c>
      <x:c r="F8" s="137" t="n">
        <x:v>15000</x:v>
      </x:c>
      <x:c r="G8" s="155" t="n">
        <x:f>IF(OR(A8="",J8&lt;&gt;"Да"),"",MAX(0,(YEAR(D8)-YEAR('Настройки'!$B$3))*12+MONTH(D8)-MONTH('Настройки'!$B$3)+1))</x:f>
        <x:v>12</x:v>
      </x:c>
      <x:c r="H8" s="139" t="n">
        <x:f>IF(A8="","",IF(J8&lt;&gt;"Да",0,IF(E8&lt;=F8,0,IF(G8&gt;0,ROUNDUP((E8-F8)/G8,0),0))))</x:f>
        <x:v>6250</x:v>
      </x:c>
      <x:c r="I8" s="155" t="str">
        <x:f>IF(A8="","",IF(E8&lt;=F8,"Собрано",IF(G8&lt;=0,"Просрочено",IF(G8&lt;=2,"Скоро","По плану"))))</x:f>
        <x:v>По плану</x:v>
      </x:c>
      <x:c r="J8" s="158" t="str">
        <x:v>Да</x:v>
      </x:c>
      <x:c r="K8" s="155" t="n">
        <x:f>IF(D8="","",MONTH(D8))</x:f>
        <x:v>6</x:v>
      </x:c>
      <x:c r="L8" s="141" t="n">
        <x:f>IF(A8="","",IF(AND(J8="Да",C8="Ежегодный"),ROUNDUP(E8/12,0),0))</x:f>
        <x:v>0</x:v>
      </x:c>
    </x:row>
    <x:row r="9">
      <x:c r="A9" s="133"/>
      <x:c r="B9" s="134"/>
      <x:c r="C9" s="152"/>
      <x:c r="D9" s="135"/>
      <x:c r="E9" s="136"/>
      <x:c r="F9" s="137"/>
      <x:c r="G9" s="155" t="str">
        <x:f>IF(OR(A9="",J9&lt;&gt;"Да"),"",MAX(0,(YEAR(D9)-YEAR('Настройки'!$B$3))*12+MONTH(D9)-MONTH('Настройки'!$B$3)+1))</x:f>
      </x:c>
      <x:c r="H9" s="139" t="str">
        <x:f>IF(A9="","",IF(J9&lt;&gt;"Да",0,IF(E9&lt;=F9,0,IF(G9&gt;0,ROUNDUP((E9-F9)/G9,0),0))))</x:f>
      </x:c>
      <x:c r="I9" s="155" t="str">
        <x:f>IF(A9="","",IF(E9&lt;=F9,"Собрано",IF(G9&lt;=0,"Просрочено",IF(G9&lt;=2,"Скоро","По плану"))))</x:f>
      </x:c>
      <x:c r="J9" s="158"/>
      <x:c r="K9" s="155" t="str">
        <x:f>IF(D9="","",MONTH(D9))</x:f>
      </x:c>
      <x:c r="L9" s="141" t="str">
        <x:f>IF(A9="","",IF(AND(J9="Да",C9="Ежегодный"),ROUNDUP(E9/12,0),0))</x:f>
      </x:c>
    </x:row>
    <x:row r="10">
      <x:c r="A10" s="133"/>
      <x:c r="B10" s="134"/>
      <x:c r="C10" s="152"/>
      <x:c r="D10" s="135"/>
      <x:c r="E10" s="136"/>
      <x:c r="F10" s="137"/>
      <x:c r="G10" s="155" t="str">
        <x:f>IF(OR(A10="",J10&lt;&gt;"Да"),"",MAX(0,(YEAR(D10)-YEAR('Настройки'!$B$3))*12+MONTH(D10)-MONTH('Настройки'!$B$3)+1))</x:f>
      </x:c>
      <x:c r="H10" s="139" t="str">
        <x:f>IF(A10="","",IF(J10&lt;&gt;"Да",0,IF(E10&lt;=F10,0,IF(G10&gt;0,ROUNDUP((E10-F10)/G10,0),0))))</x:f>
      </x:c>
      <x:c r="I10" s="155" t="str">
        <x:f>IF(A10="","",IF(E10&lt;=F10,"Собрано",IF(G10&lt;=0,"Просрочено",IF(G10&lt;=2,"Скоро","По плану"))))</x:f>
      </x:c>
      <x:c r="J10" s="158"/>
      <x:c r="K10" s="155" t="str">
        <x:f>IF(D10="","",MONTH(D10))</x:f>
      </x:c>
      <x:c r="L10" s="141" t="str">
        <x:f>IF(A10="","",IF(AND(J10="Да",C10="Ежегодный"),ROUNDUP(E10/12,0),0))</x:f>
      </x:c>
    </x:row>
    <x:row r="11">
      <x:c r="A11" s="133"/>
      <x:c r="B11" s="134"/>
      <x:c r="C11" s="152"/>
      <x:c r="D11" s="135"/>
      <x:c r="E11" s="136"/>
      <x:c r="F11" s="137"/>
      <x:c r="G11" s="155" t="str">
        <x:f>IF(OR(A11="",J11&lt;&gt;"Да"),"",MAX(0,(YEAR(D11)-YEAR('Настройки'!$B$3))*12+MONTH(D11)-MONTH('Настройки'!$B$3)+1))</x:f>
      </x:c>
      <x:c r="H11" s="139" t="str">
        <x:f>IF(A11="","",IF(J11&lt;&gt;"Да",0,IF(E11&lt;=F11,0,IF(G11&gt;0,ROUNDUP((E11-F11)/G11,0),0))))</x:f>
      </x:c>
      <x:c r="I11" s="155" t="str">
        <x:f>IF(A11="","",IF(E11&lt;=F11,"Собрано",IF(G11&lt;=0,"Просрочено",IF(G11&lt;=2,"Скоро","По плану"))))</x:f>
      </x:c>
      <x:c r="J11" s="158"/>
      <x:c r="K11" s="155" t="str">
        <x:f>IF(D11="","",MONTH(D11))</x:f>
      </x:c>
      <x:c r="L11" s="141" t="str">
        <x:f>IF(A11="","",IF(AND(J11="Да",C11="Ежегодный"),ROUNDUP(E11/12,0),0))</x:f>
      </x:c>
    </x:row>
    <x:row r="12">
      <x:c r="A12" s="133"/>
      <x:c r="B12" s="134"/>
      <x:c r="C12" s="152"/>
      <x:c r="D12" s="135"/>
      <x:c r="E12" s="136"/>
      <x:c r="F12" s="137"/>
      <x:c r="G12" s="155" t="str">
        <x:f>IF(OR(A12="",J12&lt;&gt;"Да"),"",MAX(0,(YEAR(D12)-YEAR('Настройки'!$B$3))*12+MONTH(D12)-MONTH('Настройки'!$B$3)+1))</x:f>
      </x:c>
      <x:c r="H12" s="139" t="str">
        <x:f>IF(A12="","",IF(J12&lt;&gt;"Да",0,IF(E12&lt;=F12,0,IF(G12&gt;0,ROUNDUP((E12-F12)/G12,0),0))))</x:f>
      </x:c>
      <x:c r="I12" s="155" t="str">
        <x:f>IF(A12="","",IF(E12&lt;=F12,"Собрано",IF(G12&lt;=0,"Просрочено",IF(G12&lt;=2,"Скоро","По плану"))))</x:f>
      </x:c>
      <x:c r="J12" s="158"/>
      <x:c r="K12" s="155" t="str">
        <x:f>IF(D12="","",MONTH(D12))</x:f>
      </x:c>
      <x:c r="L12" s="141" t="str">
        <x:f>IF(A12="","",IF(AND(J12="Да",C12="Ежегодный"),ROUNDUP(E12/12,0),0))</x:f>
      </x:c>
    </x:row>
    <x:row r="13">
      <x:c r="A13" s="133"/>
      <x:c r="B13" s="134"/>
      <x:c r="C13" s="152"/>
      <x:c r="D13" s="135"/>
      <x:c r="E13" s="136"/>
      <x:c r="F13" s="137"/>
      <x:c r="G13" s="155" t="str">
        <x:f>IF(OR(A13="",J13&lt;&gt;"Да"),"",MAX(0,(YEAR(D13)-YEAR('Настройки'!$B$3))*12+MONTH(D13)-MONTH('Настройки'!$B$3)+1))</x:f>
      </x:c>
      <x:c r="H13" s="139" t="str">
        <x:f>IF(A13="","",IF(J13&lt;&gt;"Да",0,IF(E13&lt;=F13,0,IF(G13&gt;0,ROUNDUP((E13-F13)/G13,0),0))))</x:f>
      </x:c>
      <x:c r="I13" s="155" t="str">
        <x:f>IF(A13="","",IF(E13&lt;=F13,"Собрано",IF(G13&lt;=0,"Просрочено",IF(G13&lt;=2,"Скоро","По плану"))))</x:f>
      </x:c>
      <x:c r="J13" s="158"/>
      <x:c r="K13" s="155" t="str">
        <x:f>IF(D13="","",MONTH(D13))</x:f>
      </x:c>
      <x:c r="L13" s="141" t="str">
        <x:f>IF(A13="","",IF(AND(J13="Да",C13="Ежегодный"),ROUNDUP(E13/12,0),0))</x:f>
      </x:c>
    </x:row>
    <x:row r="14">
      <x:c r="A14" s="133"/>
      <x:c r="B14" s="134"/>
      <x:c r="C14" s="152"/>
      <x:c r="D14" s="135"/>
      <x:c r="E14" s="136"/>
      <x:c r="F14" s="137"/>
      <x:c r="G14" s="155" t="str">
        <x:f>IF(OR(A14="",J14&lt;&gt;"Да"),"",MAX(0,(YEAR(D14)-YEAR('Настройки'!$B$3))*12+MONTH(D14)-MONTH('Настройки'!$B$3)+1))</x:f>
      </x:c>
      <x:c r="H14" s="139" t="str">
        <x:f>IF(A14="","",IF(J14&lt;&gt;"Да",0,IF(E14&lt;=F14,0,IF(G14&gt;0,ROUNDUP((E14-F14)/G14,0),0))))</x:f>
      </x:c>
      <x:c r="I14" s="155" t="str">
        <x:f>IF(A14="","",IF(E14&lt;=F14,"Собрано",IF(G14&lt;=0,"Просрочено",IF(G14&lt;=2,"Скоро","По плану"))))</x:f>
      </x:c>
      <x:c r="J14" s="158"/>
      <x:c r="K14" s="155" t="str">
        <x:f>IF(D14="","",MONTH(D14))</x:f>
      </x:c>
      <x:c r="L14" s="141" t="str">
        <x:f>IF(A14="","",IF(AND(J14="Да",C14="Ежегодный"),ROUNDUP(E14/12,0),0))</x:f>
      </x:c>
    </x:row>
    <x:row r="15">
      <x:c r="A15" s="133"/>
      <x:c r="B15" s="134"/>
      <x:c r="C15" s="152"/>
      <x:c r="D15" s="135"/>
      <x:c r="E15" s="136"/>
      <x:c r="F15" s="137"/>
      <x:c r="G15" s="155" t="str">
        <x:f>IF(OR(A15="",J15&lt;&gt;"Да"),"",MAX(0,(YEAR(D15)-YEAR('Настройки'!$B$3))*12+MONTH(D15)-MONTH('Настройки'!$B$3)+1))</x:f>
      </x:c>
      <x:c r="H15" s="139" t="str">
        <x:f>IF(A15="","",IF(J15&lt;&gt;"Да",0,IF(E15&lt;=F15,0,IF(G15&gt;0,ROUNDUP((E15-F15)/G15,0),0))))</x:f>
      </x:c>
      <x:c r="I15" s="155" t="str">
        <x:f>IF(A15="","",IF(E15&lt;=F15,"Собрано",IF(G15&lt;=0,"Просрочено",IF(G15&lt;=2,"Скоро","По плану"))))</x:f>
      </x:c>
      <x:c r="J15" s="158"/>
      <x:c r="K15" s="155" t="str">
        <x:f>IF(D15="","",MONTH(D15))</x:f>
      </x:c>
      <x:c r="L15" s="141" t="str">
        <x:f>IF(A15="","",IF(AND(J15="Да",C15="Ежегодный"),ROUNDUP(E15/12,0),0))</x:f>
      </x:c>
    </x:row>
    <x:row r="16">
      <x:c r="A16" s="133"/>
      <x:c r="B16" s="134"/>
      <x:c r="C16" s="152"/>
      <x:c r="D16" s="135"/>
      <x:c r="E16" s="136"/>
      <x:c r="F16" s="137"/>
      <x:c r="G16" s="155" t="str">
        <x:f>IF(OR(A16="",J16&lt;&gt;"Да"),"",MAX(0,(YEAR(D16)-YEAR('Настройки'!$B$3))*12+MONTH(D16)-MONTH('Настройки'!$B$3)+1))</x:f>
      </x:c>
      <x:c r="H16" s="139" t="str">
        <x:f>IF(A16="","",IF(J16&lt;&gt;"Да",0,IF(E16&lt;=F16,0,IF(G16&gt;0,ROUNDUP((E16-F16)/G16,0),0))))</x:f>
      </x:c>
      <x:c r="I16" s="155" t="str">
        <x:f>IF(A16="","",IF(E16&lt;=F16,"Собрано",IF(G16&lt;=0,"Просрочено",IF(G16&lt;=2,"Скоро","По плану"))))</x:f>
      </x:c>
      <x:c r="J16" s="158"/>
      <x:c r="K16" s="155" t="str">
        <x:f>IF(D16="","",MONTH(D16))</x:f>
      </x:c>
      <x:c r="L16" s="141" t="str">
        <x:f>IF(A16="","",IF(AND(J16="Да",C16="Ежегодный"),ROUNDUP(E16/12,0),0))</x:f>
      </x:c>
    </x:row>
    <x:row r="17">
      <x:c r="A17" s="133"/>
      <x:c r="B17" s="134"/>
      <x:c r="C17" s="152"/>
      <x:c r="D17" s="135"/>
      <x:c r="E17" s="136"/>
      <x:c r="F17" s="137"/>
      <x:c r="G17" s="155" t="str">
        <x:f>IF(OR(A17="",J17&lt;&gt;"Да"),"",MAX(0,(YEAR(D17)-YEAR('Настройки'!$B$3))*12+MONTH(D17)-MONTH('Настройки'!$B$3)+1))</x:f>
      </x:c>
      <x:c r="H17" s="139" t="str">
        <x:f>IF(A17="","",IF(J17&lt;&gt;"Да",0,IF(E17&lt;=F17,0,IF(G17&gt;0,ROUNDUP((E17-F17)/G17,0),0))))</x:f>
      </x:c>
      <x:c r="I17" s="155" t="str">
        <x:f>IF(A17="","",IF(E17&lt;=F17,"Собрано",IF(G17&lt;=0,"Просрочено",IF(G17&lt;=2,"Скоро","По плану"))))</x:f>
      </x:c>
      <x:c r="J17" s="158"/>
      <x:c r="K17" s="155" t="str">
        <x:f>IF(D17="","",MONTH(D17))</x:f>
      </x:c>
      <x:c r="L17" s="141" t="str">
        <x:f>IF(A17="","",IF(AND(J17="Да",C17="Ежегодный"),ROUNDUP(E17/12,0),0))</x:f>
      </x:c>
    </x:row>
    <x:row r="18">
      <x:c r="A18" s="133"/>
      <x:c r="B18" s="134"/>
      <x:c r="C18" s="152"/>
      <x:c r="D18" s="135"/>
      <x:c r="E18" s="136"/>
      <x:c r="F18" s="137"/>
      <x:c r="G18" s="155" t="str">
        <x:f>IF(OR(A18="",J18&lt;&gt;"Да"),"",MAX(0,(YEAR(D18)-YEAR('Настройки'!$B$3))*12+MONTH(D18)-MONTH('Настройки'!$B$3)+1))</x:f>
      </x:c>
      <x:c r="H18" s="139" t="str">
        <x:f>IF(A18="","",IF(J18&lt;&gt;"Да",0,IF(E18&lt;=F18,0,IF(G18&gt;0,ROUNDUP((E18-F18)/G18,0),0))))</x:f>
      </x:c>
      <x:c r="I18" s="155" t="str">
        <x:f>IF(A18="","",IF(E18&lt;=F18,"Собрано",IF(G18&lt;=0,"Просрочено",IF(G18&lt;=2,"Скоро","По плану"))))</x:f>
      </x:c>
      <x:c r="J18" s="158"/>
      <x:c r="K18" s="155" t="str">
        <x:f>IF(D18="","",MONTH(D18))</x:f>
      </x:c>
      <x:c r="L18" s="141" t="str">
        <x:f>IF(A18="","",IF(AND(J18="Да",C18="Ежегодный"),ROUNDUP(E18/12,0),0))</x:f>
      </x:c>
    </x:row>
    <x:row r="19">
      <x:c r="A19" s="133"/>
      <x:c r="B19" s="134"/>
      <x:c r="C19" s="152"/>
      <x:c r="D19" s="135"/>
      <x:c r="E19" s="136"/>
      <x:c r="F19" s="137"/>
      <x:c r="G19" s="155" t="str">
        <x:f>IF(OR(A19="",J19&lt;&gt;"Да"),"",MAX(0,(YEAR(D19)-YEAR('Настройки'!$B$3))*12+MONTH(D19)-MONTH('Настройки'!$B$3)+1))</x:f>
      </x:c>
      <x:c r="H19" s="139" t="str">
        <x:f>IF(A19="","",IF(J19&lt;&gt;"Да",0,IF(E19&lt;=F19,0,IF(G19&gt;0,ROUNDUP((E19-F19)/G19,0),0))))</x:f>
      </x:c>
      <x:c r="I19" s="155" t="str">
        <x:f>IF(A19="","",IF(E19&lt;=F19,"Собрано",IF(G19&lt;=0,"Просрочено",IF(G19&lt;=2,"Скоро","По плану"))))</x:f>
      </x:c>
      <x:c r="J19" s="158"/>
      <x:c r="K19" s="155" t="str">
        <x:f>IF(D19="","",MONTH(D19))</x:f>
      </x:c>
      <x:c r="L19" s="141" t="str">
        <x:f>IF(A19="","",IF(AND(J19="Да",C19="Ежегодный"),ROUNDUP(E19/12,0),0))</x:f>
      </x:c>
    </x:row>
    <x:row r="20">
      <x:c r="A20" s="133"/>
      <x:c r="B20" s="134"/>
      <x:c r="C20" s="152"/>
      <x:c r="D20" s="135"/>
      <x:c r="E20" s="136"/>
      <x:c r="F20" s="137"/>
      <x:c r="G20" s="155" t="str">
        <x:f>IF(OR(A20="",J20&lt;&gt;"Да"),"",MAX(0,(YEAR(D20)-YEAR('Настройки'!$B$3))*12+MONTH(D20)-MONTH('Настройки'!$B$3)+1))</x:f>
      </x:c>
      <x:c r="H20" s="139" t="str">
        <x:f>IF(A20="","",IF(J20&lt;&gt;"Да",0,IF(E20&lt;=F20,0,IF(G20&gt;0,ROUNDUP((E20-F20)/G20,0),0))))</x:f>
      </x:c>
      <x:c r="I20" s="155" t="str">
        <x:f>IF(A20="","",IF(E20&lt;=F20,"Собрано",IF(G20&lt;=0,"Просрочено",IF(G20&lt;=2,"Скоро","По плану"))))</x:f>
      </x:c>
      <x:c r="J20" s="158"/>
      <x:c r="K20" s="155" t="str">
        <x:f>IF(D20="","",MONTH(D20))</x:f>
      </x:c>
      <x:c r="L20" s="141" t="str">
        <x:f>IF(A20="","",IF(AND(J20="Да",C20="Ежегодный"),ROUNDUP(E20/12,0),0))</x:f>
      </x:c>
    </x:row>
    <x:row r="21">
      <x:c r="A21" s="133"/>
      <x:c r="B21" s="134"/>
      <x:c r="C21" s="152"/>
      <x:c r="D21" s="135"/>
      <x:c r="E21" s="136"/>
      <x:c r="F21" s="137"/>
      <x:c r="G21" s="155" t="str">
        <x:f>IF(OR(A21="",J21&lt;&gt;"Да"),"",MAX(0,(YEAR(D21)-YEAR('Настройки'!$B$3))*12+MONTH(D21)-MONTH('Настройки'!$B$3)+1))</x:f>
      </x:c>
      <x:c r="H21" s="139" t="str">
        <x:f>IF(A21="","",IF(J21&lt;&gt;"Да",0,IF(E21&lt;=F21,0,IF(G21&gt;0,ROUNDUP((E21-F21)/G21,0),0))))</x:f>
      </x:c>
      <x:c r="I21" s="155" t="str">
        <x:f>IF(A21="","",IF(E21&lt;=F21,"Собрано",IF(G21&lt;=0,"Просрочено",IF(G21&lt;=2,"Скоро","По плану"))))</x:f>
      </x:c>
      <x:c r="J21" s="158"/>
      <x:c r="K21" s="155" t="str">
        <x:f>IF(D21="","",MONTH(D21))</x:f>
      </x:c>
      <x:c r="L21" s="141" t="str">
        <x:f>IF(A21="","",IF(AND(J21="Да",C21="Ежегодный"),ROUNDUP(E21/12,0),0))</x:f>
      </x:c>
    </x:row>
    <x:row r="22">
      <x:c r="A22" s="133"/>
      <x:c r="B22" s="134"/>
      <x:c r="C22" s="152"/>
      <x:c r="D22" s="135"/>
      <x:c r="E22" s="136"/>
      <x:c r="F22" s="137"/>
      <x:c r="G22" s="155" t="str">
        <x:f>IF(OR(A22="",J22&lt;&gt;"Да"),"",MAX(0,(YEAR(D22)-YEAR('Настройки'!$B$3))*12+MONTH(D22)-MONTH('Настройки'!$B$3)+1))</x:f>
      </x:c>
      <x:c r="H22" s="139" t="str">
        <x:f>IF(A22="","",IF(J22&lt;&gt;"Да",0,IF(E22&lt;=F22,0,IF(G22&gt;0,ROUNDUP((E22-F22)/G22,0),0))))</x:f>
      </x:c>
      <x:c r="I22" s="155" t="str">
        <x:f>IF(A22="","",IF(E22&lt;=F22,"Собрано",IF(G22&lt;=0,"Просрочено",IF(G22&lt;=2,"Скоро","По плану"))))</x:f>
      </x:c>
      <x:c r="J22" s="158"/>
      <x:c r="K22" s="155" t="str">
        <x:f>IF(D22="","",MONTH(D22))</x:f>
      </x:c>
      <x:c r="L22" s="141" t="str">
        <x:f>IF(A22="","",IF(AND(J22="Да",C22="Ежегодный"),ROUNDUP(E22/12,0),0))</x:f>
      </x:c>
    </x:row>
    <x:row r="23">
      <x:c r="A23" s="133"/>
      <x:c r="B23" s="134"/>
      <x:c r="C23" s="152"/>
      <x:c r="D23" s="135"/>
      <x:c r="E23" s="136"/>
      <x:c r="F23" s="137"/>
      <x:c r="G23" s="155" t="str">
        <x:f>IF(OR(A23="",J23&lt;&gt;"Да"),"",MAX(0,(YEAR(D23)-YEAR('Настройки'!$B$3))*12+MONTH(D23)-MONTH('Настройки'!$B$3)+1))</x:f>
      </x:c>
      <x:c r="H23" s="139" t="str">
        <x:f>IF(A23="","",IF(J23&lt;&gt;"Да",0,IF(E23&lt;=F23,0,IF(G23&gt;0,ROUNDUP((E23-F23)/G23,0),0))))</x:f>
      </x:c>
      <x:c r="I23" s="155" t="str">
        <x:f>IF(A23="","",IF(E23&lt;=F23,"Собрано",IF(G23&lt;=0,"Просрочено",IF(G23&lt;=2,"Скоро","По плану"))))</x:f>
      </x:c>
      <x:c r="J23" s="158"/>
      <x:c r="K23" s="155" t="str">
        <x:f>IF(D23="","",MONTH(D23))</x:f>
      </x:c>
      <x:c r="L23" s="141" t="str">
        <x:f>IF(A23="","",IF(AND(J23="Да",C23="Ежегодный"),ROUNDUP(E23/12,0),0))</x:f>
      </x:c>
    </x:row>
    <x:row r="24">
      <x:c r="A24" s="133"/>
      <x:c r="B24" s="134"/>
      <x:c r="C24" s="152"/>
      <x:c r="D24" s="135"/>
      <x:c r="E24" s="136"/>
      <x:c r="F24" s="137"/>
      <x:c r="G24" s="155" t="str">
        <x:f>IF(OR(A24="",J24&lt;&gt;"Да"),"",MAX(0,(YEAR(D24)-YEAR('Настройки'!$B$3))*12+MONTH(D24)-MONTH('Настройки'!$B$3)+1))</x:f>
      </x:c>
      <x:c r="H24" s="139" t="str">
        <x:f>IF(A24="","",IF(J24&lt;&gt;"Да",0,IF(E24&lt;=F24,0,IF(G24&gt;0,ROUNDUP((E24-F24)/G24,0),0))))</x:f>
      </x:c>
      <x:c r="I24" s="155" t="str">
        <x:f>IF(A24="","",IF(E24&lt;=F24,"Собрано",IF(G24&lt;=0,"Просрочено",IF(G24&lt;=2,"Скоро","По плану"))))</x:f>
      </x:c>
      <x:c r="J24" s="158"/>
      <x:c r="K24" s="155" t="str">
        <x:f>IF(D24="","",MONTH(D24))</x:f>
      </x:c>
      <x:c r="L24" s="141" t="str">
        <x:f>IF(A24="","",IF(AND(J24="Да",C24="Ежегодный"),ROUNDUP(E24/12,0),0))</x:f>
      </x:c>
    </x:row>
    <x:row r="25">
      <x:c r="A25" s="142"/>
      <x:c r="B25" s="143"/>
      <x:c r="C25" s="153"/>
      <x:c r="D25" s="135"/>
      <x:c r="E25" s="145"/>
      <x:c r="F25" s="146"/>
      <x:c r="G25" s="156" t="str">
        <x:f>IF(OR(A25="",J25&lt;&gt;"Да"),"",MAX(0,(YEAR(D25)-YEAR('Настройки'!$B$3))*12+MONTH(D25)-MONTH('Настройки'!$B$3)+1))</x:f>
      </x:c>
      <x:c r="H25" s="148" t="str">
        <x:f>IF(A25="","",IF(J25&lt;&gt;"Да",0,IF(E25&lt;=F25,0,IF(G25&gt;0,ROUNDUP((E25-F25)/G25,0),0))))</x:f>
      </x:c>
      <x:c r="I25" s="156" t="str">
        <x:f>IF(A25="","",IF(E25&lt;=F25,"Собрано",IF(G25&lt;=0,"Просрочено",IF(G25&lt;=2,"Скоро","По плану"))))</x:f>
      </x:c>
      <x:c r="J25" s="159"/>
      <x:c r="K25" s="156" t="str">
        <x:f>IF(D25="","",MONTH(D25))</x:f>
      </x:c>
      <x:c r="L25" s="150" t="str">
        <x:f>IF(A25="","",IF(AND(J25="Да",C25="Ежегодный"),ROUNDUP(E25/12,0),0))</x:f>
      </x:c>
    </x:row>
  </x:sheetData>
  <x:mergeCells>
    <x:mergeCell ref="A1:L1"/>
    <x:mergeCell ref="A3:L3"/>
  </x:mergeCells>
  <x:conditionalFormatting sqref="I6:I25">
    <x:cfRule type="containsText" dxfId="0" priority="1" operator="containsText" text="Просрочено"/>
    <x:cfRule type="containsText" dxfId="1" priority="2" operator="containsText" text="Скоро"/>
  </x:conditionalFormatting>
  <x:dataValidations count="3">
    <x:dataValidation type="list" sqref="B6:B25">
      <x:formula1>"Жильё,ЖКХ и связь,Дети,Продукты,Транспорт,Досуг,Дом и мелкие покупки"</x:formula1>
    </x:dataValidation>
    <x:dataValidation type="list" sqref="C6:C25">
      <x:formula1>"Ежегодный,Разовый"</x:formula1>
    </x:dataValidation>
    <x:dataValidation type="list" sqref="J6:J25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bf4035604e49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18" hidden="0" customWidth="1"/>
    <x:col min="4" max="4" width="16" hidden="0" customWidth="1"/>
    <x:col min="5" max="5" width="13" hidden="0" customWidth="1"/>
    <x:col min="6" max="6" width="20" hidden="0" customWidth="1"/>
  </x:cols>
  <x:sheetData>
    <x:row r="1" ht="38" customHeight="1">
      <x:c r="A1" s="4" t="str">
        <x:v>Ежемесячные обязательные платежи</x:v>
      </x:c>
      <x:c r="B1" s="4" t="str">
        <x:v>Ежемесячные обязательные платежи</x:v>
      </x:c>
      <x:c r="C1" s="4" t="str">
        <x:v>Ежемесячные обязательные платежи</x:v>
      </x:c>
      <x:c r="D1" s="4" t="str">
        <x:v>Ежемесячные обязательные платежи</x:v>
      </x:c>
      <x:c r="E1" s="4" t="str">
        <x:v>Ежемесячные обязательные платежи</x:v>
      </x:c>
      <x:c r="F1" s="4" t="str">
        <x:v>Ежемесячные обязательные платежи</x:v>
      </x:c>
    </x:row>
    <x:row r="3">
      <x:c r="A3" s="62" t="str">
        <x:v>Только стабильные платежи, которые повторяются каждый месяц. Факт оплаты всё равно внесите в «Операции».</x:v>
      </x:c>
      <x:c r="B3" s="62"/>
      <x:c r="C3" s="62"/>
      <x:c r="D3" s="62"/>
      <x:c r="E3" s="62"/>
      <x:c r="F3" s="62"/>
    </x:row>
    <x:row r="5" ht="34" customHeight="1">
      <x:c r="A5" s="37" t="str">
        <x:v>Название</x:v>
      </x:c>
      <x:c r="B5" s="38" t="str">
        <x:v>Категория</x:v>
      </x:c>
      <x:c r="C5" s="38" t="str">
        <x:v>Сумма / мес</x:v>
      </x:c>
      <x:c r="D5" s="38" t="str">
        <x:v>День оплаты</x:v>
      </x:c>
      <x:c r="E5" s="38" t="str">
        <x:v>Активно</x:v>
      </x:c>
      <x:c r="F5" s="39" t="str">
        <x:v>Счёт</x:v>
      </x:c>
    </x:row>
    <x:row r="6">
      <x:c r="A6" s="124" t="str">
        <x:v>Аренда / ипотека</x:v>
      </x:c>
      <x:c r="B6" s="125" t="str">
        <x:v>Жильё</x:v>
      </x:c>
      <x:c r="C6" s="127" t="n">
        <x:v>45000</x:v>
      </x:c>
      <x:c r="D6" s="151" t="n">
        <x:v>5</x:v>
      </x:c>
      <x:c r="E6" s="151" t="str">
        <x:v>Да</x:v>
      </x:c>
      <x:c r="F6" s="172" t="str">
        <x:v>Основной</x:v>
      </x:c>
    </x:row>
    <x:row r="7">
      <x:c r="A7" s="133" t="str">
        <x:v>ЖКХ, интернет и связь</x:v>
      </x:c>
      <x:c r="B7" s="134" t="str">
        <x:v>ЖКХ и связь</x:v>
      </x:c>
      <x:c r="C7" s="136" t="n">
        <x:v>8000</x:v>
      </x:c>
      <x:c r="D7" s="152" t="n">
        <x:v>15</x:v>
      </x:c>
      <x:c r="E7" s="152" t="str">
        <x:v>Да</x:v>
      </x:c>
      <x:c r="F7" s="173" t="str">
        <x:v>Основной</x:v>
      </x:c>
    </x:row>
    <x:row r="8">
      <x:c r="A8" s="133"/>
      <x:c r="B8" s="134"/>
      <x:c r="C8" s="136"/>
      <x:c r="D8" s="152"/>
      <x:c r="E8" s="152"/>
      <x:c r="F8" s="173"/>
    </x:row>
    <x:row r="9">
      <x:c r="A9" s="133"/>
      <x:c r="B9" s="134"/>
      <x:c r="C9" s="136"/>
      <x:c r="D9" s="152"/>
      <x:c r="E9" s="152"/>
      <x:c r="F9" s="173"/>
    </x:row>
    <x:row r="10">
      <x:c r="A10" s="133"/>
      <x:c r="B10" s="134"/>
      <x:c r="C10" s="136"/>
      <x:c r="D10" s="152"/>
      <x:c r="E10" s="152"/>
      <x:c r="F10" s="173"/>
    </x:row>
    <x:row r="11">
      <x:c r="A11" s="133"/>
      <x:c r="B11" s="134"/>
      <x:c r="C11" s="136"/>
      <x:c r="D11" s="152"/>
      <x:c r="E11" s="152"/>
      <x:c r="F11" s="173"/>
    </x:row>
    <x:row r="12">
      <x:c r="A12" s="133"/>
      <x:c r="B12" s="134"/>
      <x:c r="C12" s="136"/>
      <x:c r="D12" s="152"/>
      <x:c r="E12" s="152"/>
      <x:c r="F12" s="173"/>
    </x:row>
    <x:row r="13">
      <x:c r="A13" s="133"/>
      <x:c r="B13" s="134"/>
      <x:c r="C13" s="136"/>
      <x:c r="D13" s="152"/>
      <x:c r="E13" s="152"/>
      <x:c r="F13" s="173"/>
    </x:row>
    <x:row r="14">
      <x:c r="A14" s="133"/>
      <x:c r="B14" s="134"/>
      <x:c r="C14" s="136"/>
      <x:c r="D14" s="152"/>
      <x:c r="E14" s="152"/>
      <x:c r="F14" s="173"/>
    </x:row>
    <x:row r="15">
      <x:c r="A15" s="133"/>
      <x:c r="B15" s="134"/>
      <x:c r="C15" s="136"/>
      <x:c r="D15" s="152"/>
      <x:c r="E15" s="152"/>
      <x:c r="F15" s="173"/>
    </x:row>
    <x:row r="16">
      <x:c r="A16" s="133"/>
      <x:c r="B16" s="134"/>
      <x:c r="C16" s="136"/>
      <x:c r="D16" s="152"/>
      <x:c r="E16" s="152"/>
      <x:c r="F16" s="173"/>
    </x:row>
    <x:row r="17">
      <x:c r="A17" s="133"/>
      <x:c r="B17" s="134"/>
      <x:c r="C17" s="136"/>
      <x:c r="D17" s="152"/>
      <x:c r="E17" s="152"/>
      <x:c r="F17" s="173"/>
    </x:row>
    <x:row r="18">
      <x:c r="A18" s="133"/>
      <x:c r="B18" s="134"/>
      <x:c r="C18" s="136"/>
      <x:c r="D18" s="152"/>
      <x:c r="E18" s="152"/>
      <x:c r="F18" s="173"/>
    </x:row>
    <x:row r="19">
      <x:c r="A19" s="133"/>
      <x:c r="B19" s="134"/>
      <x:c r="C19" s="136"/>
      <x:c r="D19" s="152"/>
      <x:c r="E19" s="152"/>
      <x:c r="F19" s="173"/>
    </x:row>
    <x:row r="20">
      <x:c r="A20" s="133"/>
      <x:c r="B20" s="134"/>
      <x:c r="C20" s="136"/>
      <x:c r="D20" s="152"/>
      <x:c r="E20" s="152"/>
      <x:c r="F20" s="173"/>
    </x:row>
    <x:row r="21">
      <x:c r="A21" s="133"/>
      <x:c r="B21" s="134"/>
      <x:c r="C21" s="136"/>
      <x:c r="D21" s="152"/>
      <x:c r="E21" s="152"/>
      <x:c r="F21" s="173"/>
    </x:row>
    <x:row r="22">
      <x:c r="A22" s="133"/>
      <x:c r="B22" s="134"/>
      <x:c r="C22" s="136"/>
      <x:c r="D22" s="152"/>
      <x:c r="E22" s="152"/>
      <x:c r="F22" s="173"/>
    </x:row>
    <x:row r="23">
      <x:c r="A23" s="133"/>
      <x:c r="B23" s="134"/>
      <x:c r="C23" s="136"/>
      <x:c r="D23" s="152"/>
      <x:c r="E23" s="152"/>
      <x:c r="F23" s="173"/>
    </x:row>
    <x:row r="24">
      <x:c r="A24" s="133"/>
      <x:c r="B24" s="134"/>
      <x:c r="C24" s="136"/>
      <x:c r="D24" s="152"/>
      <x:c r="E24" s="152"/>
      <x:c r="F24" s="173"/>
    </x:row>
    <x:row r="25">
      <x:c r="A25" s="168"/>
      <x:c r="B25" s="169"/>
      <x:c r="C25" s="170"/>
      <x:c r="D25" s="174"/>
      <x:c r="E25" s="174"/>
      <x:c r="F25" s="175"/>
    </x:row>
  </x:sheetData>
  <x:mergeCells>
    <x:mergeCell ref="A1:F1"/>
    <x:mergeCell ref="A3:F3"/>
  </x:mergeCells>
  <x:dataValidations count="3">
    <x:dataValidation type="list" sqref="B6:B25">
      <x:formula1>"Жильё,ЖКХ и связь,Дети,Продукты,Транспорт,Досуг,Дом и мелкие покупки"</x:formula1>
    </x:dataValidation>
    <x:dataValidation type="list" sqref="E6:E25">
      <x:formula1>"Да,Нет"</x:formula1>
    </x:dataValidation>
    <x:dataValidation type="list" sqref="F6:F25">
      <x:formula1>"Основной,Резерв платежей"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ac8fd920b240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1" hidden="0" customWidth="1"/>
    <x:col min="4" max="4" width="10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12" hidden="0" customWidth="1"/>
  </x:cols>
  <x:sheetData>
    <x:row r="1" ht="38" customHeight="1">
      <x:c r="A1" s="4" t="str">
        <x:v>Сезонные расходы по выбранным месяцам</x:v>
      </x:c>
      <x:c r="B1" s="4" t="str">
        <x:v>Сезонные расходы по выбранным месяцам</x:v>
      </x:c>
      <x:c r="C1" s="4" t="str">
        <x:v>Сезонные расходы по выбранным месяцам</x:v>
      </x:c>
      <x:c r="D1" s="4" t="str">
        <x:v>Сезонные расходы по выбранным месяцам</x:v>
      </x:c>
      <x:c r="E1" s="4" t="str">
        <x:v>Сезонные расходы по выбранным месяцам</x:v>
      </x:c>
      <x:c r="F1" s="4" t="str">
        <x:v>Сезонные расходы по выбранным месяцам</x:v>
      </x:c>
      <x:c r="G1" s="4" t="str">
        <x:v>Сезонные расходы по выбранным месяцам</x:v>
      </x:c>
      <x:c r="H1" s="4" t="str">
        <x:v>Сезонные расходы по выбранным месяцам</x:v>
      </x:c>
      <x:c r="I1" s="4" t="str">
        <x:v>Сезонные расходы по выбранным месяцам</x:v>
      </x:c>
      <x:c r="J1" s="4" t="str">
        <x:v>Сезонные расходы по выбранным месяцам</x:v>
      </x:c>
      <x:c r="K1" s="4" t="str">
        <x:v>Сезонные расходы по выбранным месяцам</x:v>
      </x:c>
      <x:c r="L1" s="4" t="str">
        <x:v>Сезонные расходы по выбранным месяцам</x:v>
      </x:c>
      <x:c r="M1" s="4" t="str">
        <x:v>Сезонные расходы по выбранным месяцам</x:v>
      </x:c>
      <x:c r="N1" s="4" t="str">
        <x:v>Сезонные расходы по выбранным месяцам</x:v>
      </x:c>
      <x:c r="O1" s="4" t="str">
        <x:v>Сезонные расходы по выбранным месяцам</x:v>
      </x:c>
      <x:c r="P1" s="4" t="str">
        <x:v>Сезонные расходы по выбранным месяцам</x:v>
      </x:c>
      <x:c r="Q1" s="4" t="str">
        <x:v>Сезонные расходы по выбранным месяцам</x:v>
      </x:c>
    </x:row>
    <x:row r="3">
      <x:c r="A3" s="65" t="str">
        <x:v>Пример: обучение и секции идут с сентября по май, а летом равны нулю. Для каждой строки отметьте нужные месяцы.</x:v>
      </x:c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</x:row>
    <x:row r="5" ht="34" customHeight="1">
      <x:c r="A5" s="37" t="str">
        <x:v>Название</x:v>
      </x:c>
      <x:c r="B5" s="38" t="str">
        <x:v>Категория</x:v>
      </x:c>
      <x:c r="C5" s="38" t="str">
        <x:v>Сумма / активный мес</x:v>
      </x:c>
      <x:c r="D5" s="38" t="str">
        <x:v>День</x:v>
      </x:c>
      <x:c r="E5" s="38" t="str">
        <x:v>Янв</x:v>
      </x:c>
      <x:c r="F5" s="38" t="str">
        <x:v>Фев</x:v>
      </x:c>
      <x:c r="G5" s="38" t="str">
        <x:v>Мар</x:v>
      </x:c>
      <x:c r="H5" s="38" t="str">
        <x:v>Апр</x:v>
      </x:c>
      <x:c r="I5" s="38" t="str">
        <x:v>Май</x:v>
      </x:c>
      <x:c r="J5" s="38" t="str">
        <x:v>Июн</x:v>
      </x:c>
      <x:c r="K5" s="38" t="str">
        <x:v>Июл</x:v>
      </x:c>
      <x:c r="L5" s="38" t="str">
        <x:v>Авг</x:v>
      </x:c>
      <x:c r="M5" s="38" t="str">
        <x:v>Сен</x:v>
      </x:c>
      <x:c r="N5" s="38" t="str">
        <x:v>Окт</x:v>
      </x:c>
      <x:c r="O5" s="38" t="str">
        <x:v>Ноя</x:v>
      </x:c>
      <x:c r="P5" s="38" t="str">
        <x:v>Дек</x:v>
      </x:c>
      <x:c r="Q5" s="39" t="str">
        <x:v>Активно</x:v>
      </x:c>
    </x:row>
    <x:row r="6">
      <x:c r="A6" s="124" t="str">
        <x:v>Обучение детей</x:v>
      </x:c>
      <x:c r="B6" s="125" t="str">
        <x:v>Дети</x:v>
      </x:c>
      <x:c r="C6" s="127" t="n">
        <x:v>25000</x:v>
      </x:c>
      <x:c r="D6" s="151" t="n">
        <x:v>10</x:v>
      </x:c>
      <x:c r="E6" s="151" t="str">
        <x:v>Да</x:v>
      </x:c>
      <x:c r="F6" s="151" t="str">
        <x:v>Да</x:v>
      </x:c>
      <x:c r="G6" s="151" t="str">
        <x:v>Да</x:v>
      </x:c>
      <x:c r="H6" s="151" t="str">
        <x:v>Да</x:v>
      </x:c>
      <x:c r="I6" s="151" t="str">
        <x:v>Да</x:v>
      </x:c>
      <x:c r="J6" s="151" t="str">
        <x:v>Нет</x:v>
      </x:c>
      <x:c r="K6" s="151" t="str">
        <x:v>Нет</x:v>
      </x:c>
      <x:c r="L6" s="151" t="str">
        <x:v>Нет</x:v>
      </x:c>
      <x:c r="M6" s="151" t="str">
        <x:v>Да</x:v>
      </x:c>
      <x:c r="N6" s="151" t="str">
        <x:v>Да</x:v>
      </x:c>
      <x:c r="O6" s="151" t="str">
        <x:v>Да</x:v>
      </x:c>
      <x:c r="P6" s="151" t="str">
        <x:v>Да</x:v>
      </x:c>
      <x:c r="Q6" s="172" t="str">
        <x:v>Да</x:v>
      </x:c>
    </x:row>
    <x:row r="7">
      <x:c r="A7" s="133" t="str">
        <x:v>Секции</x:v>
      </x:c>
      <x:c r="B7" s="134" t="str">
        <x:v>Дети</x:v>
      </x:c>
      <x:c r="C7" s="136" t="n">
        <x:v>6000</x:v>
      </x:c>
      <x:c r="D7" s="152" t="n">
        <x:v>12</x:v>
      </x:c>
      <x:c r="E7" s="152" t="str">
        <x:v>Да</x:v>
      </x:c>
      <x:c r="F7" s="152" t="str">
        <x:v>Да</x:v>
      </x:c>
      <x:c r="G7" s="152" t="str">
        <x:v>Да</x:v>
      </x:c>
      <x:c r="H7" s="152" t="str">
        <x:v>Да</x:v>
      </x:c>
      <x:c r="I7" s="152" t="str">
        <x:v>Да</x:v>
      </x:c>
      <x:c r="J7" s="152" t="str">
        <x:v>Нет</x:v>
      </x:c>
      <x:c r="K7" s="152" t="str">
        <x:v>Нет</x:v>
      </x:c>
      <x:c r="L7" s="152" t="str">
        <x:v>Нет</x:v>
      </x:c>
      <x:c r="M7" s="152" t="str">
        <x:v>Да</x:v>
      </x:c>
      <x:c r="N7" s="152" t="str">
        <x:v>Да</x:v>
      </x:c>
      <x:c r="O7" s="152" t="str">
        <x:v>Да</x:v>
      </x:c>
      <x:c r="P7" s="152" t="str">
        <x:v>Да</x:v>
      </x:c>
      <x:c r="Q7" s="173" t="str">
        <x:v>Да</x:v>
      </x:c>
    </x:row>
    <x:row r="8">
      <x:c r="A8" s="133"/>
      <x:c r="B8" s="134"/>
      <x:c r="C8" s="136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2"/>
      <x:c r="P8" s="152"/>
      <x:c r="Q8" s="173"/>
    </x:row>
    <x:row r="9">
      <x:c r="A9" s="133"/>
      <x:c r="B9" s="134"/>
      <x:c r="C9" s="136"/>
      <x:c r="D9" s="152"/>
      <x:c r="E9" s="152"/>
      <x:c r="F9" s="152"/>
      <x:c r="G9" s="152"/>
      <x:c r="H9" s="152"/>
      <x:c r="I9" s="152"/>
      <x:c r="J9" s="152"/>
      <x:c r="K9" s="152"/>
      <x:c r="L9" s="152"/>
      <x:c r="M9" s="152"/>
      <x:c r="N9" s="152"/>
      <x:c r="O9" s="152"/>
      <x:c r="P9" s="152"/>
      <x:c r="Q9" s="173"/>
    </x:row>
    <x:row r="10">
      <x:c r="A10" s="133"/>
      <x:c r="B10" s="134"/>
      <x:c r="C10" s="136"/>
      <x:c r="D10" s="152"/>
      <x:c r="E10" s="152"/>
      <x:c r="F10" s="152"/>
      <x:c r="G10" s="152"/>
      <x:c r="H10" s="152"/>
      <x:c r="I10" s="152"/>
      <x:c r="J10" s="152"/>
      <x:c r="K10" s="152"/>
      <x:c r="L10" s="152"/>
      <x:c r="M10" s="152"/>
      <x:c r="N10" s="152"/>
      <x:c r="O10" s="152"/>
      <x:c r="P10" s="152"/>
      <x:c r="Q10" s="173"/>
    </x:row>
    <x:row r="11">
      <x:c r="A11" s="133"/>
      <x:c r="B11" s="134"/>
      <x:c r="C11" s="136"/>
      <x:c r="D11" s="152"/>
      <x:c r="E11" s="152"/>
      <x:c r="F11" s="152"/>
      <x:c r="G11" s="152"/>
      <x:c r="H11" s="152"/>
      <x:c r="I11" s="152"/>
      <x:c r="J11" s="152"/>
      <x:c r="K11" s="152"/>
      <x:c r="L11" s="152"/>
      <x:c r="M11" s="152"/>
      <x:c r="N11" s="152"/>
      <x:c r="O11" s="152"/>
      <x:c r="P11" s="152"/>
      <x:c r="Q11" s="173"/>
    </x:row>
    <x:row r="12">
      <x:c r="A12" s="133"/>
      <x:c r="B12" s="134"/>
      <x:c r="C12" s="136"/>
      <x:c r="D12" s="152"/>
      <x:c r="E12" s="152"/>
      <x:c r="F12" s="152"/>
      <x:c r="G12" s="152"/>
      <x:c r="H12" s="152"/>
      <x:c r="I12" s="152"/>
      <x:c r="J12" s="152"/>
      <x:c r="K12" s="152"/>
      <x:c r="L12" s="152"/>
      <x:c r="M12" s="152"/>
      <x:c r="N12" s="152"/>
      <x:c r="O12" s="152"/>
      <x:c r="P12" s="152"/>
      <x:c r="Q12" s="173"/>
    </x:row>
    <x:row r="13">
      <x:c r="A13" s="133"/>
      <x:c r="B13" s="134"/>
      <x:c r="C13" s="136"/>
      <x:c r="D13" s="152"/>
      <x:c r="E13" s="152"/>
      <x:c r="F13" s="152"/>
      <x:c r="G13" s="152"/>
      <x:c r="H13" s="152"/>
      <x:c r="I13" s="152"/>
      <x:c r="J13" s="152"/>
      <x:c r="K13" s="152"/>
      <x:c r="L13" s="152"/>
      <x:c r="M13" s="152"/>
      <x:c r="N13" s="152"/>
      <x:c r="O13" s="152"/>
      <x:c r="P13" s="152"/>
      <x:c r="Q13" s="173"/>
    </x:row>
    <x:row r="14">
      <x:c r="A14" s="133"/>
      <x:c r="B14" s="134"/>
      <x:c r="C14" s="136"/>
      <x:c r="D14" s="152"/>
      <x:c r="E14" s="152"/>
      <x:c r="F14" s="152"/>
      <x:c r="G14" s="152"/>
      <x:c r="H14" s="152"/>
      <x:c r="I14" s="152"/>
      <x:c r="J14" s="152"/>
      <x:c r="K14" s="152"/>
      <x:c r="L14" s="152"/>
      <x:c r="M14" s="152"/>
      <x:c r="N14" s="152"/>
      <x:c r="O14" s="152"/>
      <x:c r="P14" s="152"/>
      <x:c r="Q14" s="173"/>
    </x:row>
    <x:row r="15">
      <x:c r="A15" s="133"/>
      <x:c r="B15" s="134"/>
      <x:c r="C15" s="136"/>
      <x:c r="D15" s="152"/>
      <x:c r="E15" s="152"/>
      <x:c r="F15" s="152"/>
      <x:c r="G15" s="152"/>
      <x:c r="H15" s="152"/>
      <x:c r="I15" s="152"/>
      <x:c r="J15" s="152"/>
      <x:c r="K15" s="152"/>
      <x:c r="L15" s="152"/>
      <x:c r="M15" s="152"/>
      <x:c r="N15" s="152"/>
      <x:c r="O15" s="152"/>
      <x:c r="P15" s="152"/>
      <x:c r="Q15" s="173"/>
    </x:row>
    <x:row r="16">
      <x:c r="A16" s="133"/>
      <x:c r="B16" s="134"/>
      <x:c r="C16" s="136"/>
      <x:c r="D16" s="152"/>
      <x:c r="E16" s="152"/>
      <x:c r="F16" s="152"/>
      <x:c r="G16" s="152"/>
      <x:c r="H16" s="152"/>
      <x:c r="I16" s="152"/>
      <x:c r="J16" s="152"/>
      <x:c r="K16" s="152"/>
      <x:c r="L16" s="152"/>
      <x:c r="M16" s="152"/>
      <x:c r="N16" s="152"/>
      <x:c r="O16" s="152"/>
      <x:c r="P16" s="152"/>
      <x:c r="Q16" s="173"/>
    </x:row>
    <x:row r="17">
      <x:c r="A17" s="133"/>
      <x:c r="B17" s="134"/>
      <x:c r="C17" s="136"/>
      <x:c r="D17" s="152"/>
      <x:c r="E17" s="152"/>
      <x:c r="F17" s="152"/>
      <x:c r="G17" s="152"/>
      <x:c r="H17" s="152"/>
      <x:c r="I17" s="152"/>
      <x:c r="J17" s="152"/>
      <x:c r="K17" s="152"/>
      <x:c r="L17" s="152"/>
      <x:c r="M17" s="152"/>
      <x:c r="N17" s="152"/>
      <x:c r="O17" s="152"/>
      <x:c r="P17" s="152"/>
      <x:c r="Q17" s="173"/>
    </x:row>
    <x:row r="18">
      <x:c r="A18" s="133"/>
      <x:c r="B18" s="134"/>
      <x:c r="C18" s="136"/>
      <x:c r="D18" s="152"/>
      <x:c r="E18" s="152"/>
      <x:c r="F18" s="152"/>
      <x:c r="G18" s="152"/>
      <x:c r="H18" s="152"/>
      <x:c r="I18" s="152"/>
      <x:c r="J18" s="152"/>
      <x:c r="K18" s="152"/>
      <x:c r="L18" s="152"/>
      <x:c r="M18" s="152"/>
      <x:c r="N18" s="152"/>
      <x:c r="O18" s="152"/>
      <x:c r="P18" s="152"/>
      <x:c r="Q18" s="173"/>
    </x:row>
    <x:row r="19">
      <x:c r="A19" s="133"/>
      <x:c r="B19" s="134"/>
      <x:c r="C19" s="136"/>
      <x:c r="D19" s="152"/>
      <x:c r="E19" s="152"/>
      <x:c r="F19" s="152"/>
      <x:c r="G19" s="152"/>
      <x:c r="H19" s="152"/>
      <x:c r="I19" s="152"/>
      <x:c r="J19" s="152"/>
      <x:c r="K19" s="152"/>
      <x:c r="L19" s="152"/>
      <x:c r="M19" s="152"/>
      <x:c r="N19" s="152"/>
      <x:c r="O19" s="152"/>
      <x:c r="P19" s="152"/>
      <x:c r="Q19" s="173"/>
    </x:row>
    <x:row r="20">
      <x:c r="A20" s="133"/>
      <x:c r="B20" s="134"/>
      <x:c r="C20" s="136"/>
      <x:c r="D20" s="152"/>
      <x:c r="E20" s="152"/>
      <x:c r="F20" s="152"/>
      <x:c r="G20" s="152"/>
      <x:c r="H20" s="152"/>
      <x:c r="I20" s="152"/>
      <x:c r="J20" s="152"/>
      <x:c r="K20" s="152"/>
      <x:c r="L20" s="152"/>
      <x:c r="M20" s="152"/>
      <x:c r="N20" s="152"/>
      <x:c r="O20" s="152"/>
      <x:c r="P20" s="152"/>
      <x:c r="Q20" s="173"/>
    </x:row>
    <x:row r="21">
      <x:c r="A21" s="133"/>
      <x:c r="B21" s="134"/>
      <x:c r="C21" s="136"/>
      <x:c r="D21" s="152"/>
      <x:c r="E21" s="152"/>
      <x:c r="F21" s="152"/>
      <x:c r="G21" s="152"/>
      <x:c r="H21" s="152"/>
      <x:c r="I21" s="152"/>
      <x:c r="J21" s="152"/>
      <x:c r="K21" s="152"/>
      <x:c r="L21" s="152"/>
      <x:c r="M21" s="152"/>
      <x:c r="N21" s="152"/>
      <x:c r="O21" s="152"/>
      <x:c r="P21" s="152"/>
      <x:c r="Q21" s="173"/>
    </x:row>
    <x:row r="22">
      <x:c r="A22" s="133"/>
      <x:c r="B22" s="134"/>
      <x:c r="C22" s="136"/>
      <x:c r="D22" s="152"/>
      <x:c r="E22" s="152"/>
      <x:c r="F22" s="152"/>
      <x:c r="G22" s="152"/>
      <x:c r="H22" s="152"/>
      <x:c r="I22" s="152"/>
      <x:c r="J22" s="152"/>
      <x:c r="K22" s="152"/>
      <x:c r="L22" s="152"/>
      <x:c r="M22" s="152"/>
      <x:c r="N22" s="152"/>
      <x:c r="O22" s="152"/>
      <x:c r="P22" s="152"/>
      <x:c r="Q22" s="173"/>
    </x:row>
    <x:row r="23">
      <x:c r="A23" s="133"/>
      <x:c r="B23" s="134"/>
      <x:c r="C23" s="136"/>
      <x:c r="D23" s="152"/>
      <x:c r="E23" s="152"/>
      <x:c r="F23" s="152"/>
      <x:c r="G23" s="152"/>
      <x:c r="H23" s="152"/>
      <x:c r="I23" s="152"/>
      <x:c r="J23" s="152"/>
      <x:c r="K23" s="152"/>
      <x:c r="L23" s="152"/>
      <x:c r="M23" s="152"/>
      <x:c r="N23" s="152"/>
      <x:c r="O23" s="152"/>
      <x:c r="P23" s="152"/>
      <x:c r="Q23" s="173"/>
    </x:row>
    <x:row r="24">
      <x:c r="A24" s="133"/>
      <x:c r="B24" s="134"/>
      <x:c r="C24" s="136"/>
      <x:c r="D24" s="152"/>
      <x:c r="E24" s="152"/>
      <x:c r="F24" s="152"/>
      <x:c r="G24" s="152"/>
      <x:c r="H24" s="152"/>
      <x:c r="I24" s="152"/>
      <x:c r="J24" s="152"/>
      <x:c r="K24" s="152"/>
      <x:c r="L24" s="152"/>
      <x:c r="M24" s="152"/>
      <x:c r="N24" s="152"/>
      <x:c r="O24" s="152"/>
      <x:c r="P24" s="152"/>
      <x:c r="Q24" s="173"/>
    </x:row>
    <x:row r="25">
      <x:c r="A25" s="168"/>
      <x:c r="B25" s="169"/>
      <x:c r="C25" s="170"/>
      <x:c r="D25" s="174"/>
      <x:c r="E25" s="174"/>
      <x:c r="F25" s="174"/>
      <x:c r="G25" s="174"/>
      <x:c r="H25" s="174"/>
      <x:c r="I25" s="174"/>
      <x:c r="J25" s="174"/>
      <x:c r="K25" s="174"/>
      <x:c r="L25" s="174"/>
      <x:c r="M25" s="174"/>
      <x:c r="N25" s="174"/>
      <x:c r="O25" s="174"/>
      <x:c r="P25" s="174"/>
      <x:c r="Q25" s="175"/>
    </x:row>
  </x:sheetData>
  <x:mergeCells>
    <x:mergeCell ref="A1:Q1"/>
    <x:mergeCell ref="A3:Q3"/>
  </x:mergeCells>
  <x:dataValidations count="2">
    <x:dataValidation type="list" sqref="B6:B25">
      <x:formula1>"Жильё,ЖКХ и связь,Дети,Продукты,Транспорт,Досуг,Дом и мелкие покупки"</x:formula1>
    </x:dataValidation>
    <x:dataValidation type="list" sqref="E6:Q25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5e0e37bbe54b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18" hidden="0" customWidth="1"/>
    <x:col min="8" max="8" width="12" hidden="0" customWidth="1"/>
  </x:cols>
  <x:sheetData>
    <x:row r="1" ht="38" customHeight="1">
      <x:c r="A1" s="4" t="str">
        <x:v>Повседневные лимиты на месяц</x:v>
      </x:c>
      <x:c r="B1" s="4" t="str">
        <x:v>Повседневные лимиты на месяц</x:v>
      </x:c>
      <x:c r="C1" s="4" t="str">
        <x:v>Повседневные лимиты на месяц</x:v>
      </x:c>
      <x:c r="D1" s="4" t="str">
        <x:v>Повседневные лимиты на месяц</x:v>
      </x:c>
      <x:c r="E1" s="4" t="str">
        <x:v>Повседневные лимиты на месяц</x:v>
      </x:c>
      <x:c r="F1" s="4" t="str">
        <x:v>Повседневные лимиты на месяц</x:v>
      </x:c>
      <x:c r="G1" s="4" t="str">
        <x:v>Повседневные лимиты на месяц</x:v>
      </x:c>
      <x:c r="H1" s="4" t="str">
        <x:v>Повседневные лимиты на месяц</x:v>
      </x:c>
    </x:row>
    <x:row r="3">
      <x:c r="A3" s="62" t="str">
        <x:v>Здесь только частые мелкие покупки. Постоянные, сезонные и крупные платежи уже учтены на отдельных листах.</x:v>
      </x:c>
      <x:c r="B3" s="62"/>
      <x:c r="C3" s="62"/>
      <x:c r="D3" s="62"/>
      <x:c r="E3" s="62"/>
      <x:c r="F3" s="62"/>
      <x:c r="G3" s="62"/>
      <x:c r="H3" s="62"/>
    </x:row>
    <x:row r="5" ht="34" customHeight="1">
      <x:c r="A5" s="37" t="str">
        <x:v>Категория</x:v>
      </x:c>
      <x:c r="B5" s="38" t="str">
        <x:v>Группа</x:v>
      </x:c>
      <x:c r="C5" s="38" t="str">
        <x:v>Лимит / мес</x:v>
      </x:c>
      <x:c r="D5" s="38" t="str">
        <x:v>Потрачено</x:v>
      </x:c>
      <x:c r="E5" s="38" t="str">
        <x:v>Осталось</x:v>
      </x:c>
      <x:c r="F5" s="38" t="str">
        <x:v>Исполнение</x:v>
      </x:c>
      <x:c r="G5" s="38" t="str">
        <x:v>Статус</x:v>
      </x:c>
      <x:c r="H5" s="39" t="str">
        <x:v>Активно</x:v>
      </x:c>
    </x:row>
    <x:row r="6">
      <x:c r="A6" s="124" t="str">
        <x:v>Продукты</x:v>
      </x:c>
      <x:c r="B6" s="125" t="str">
        <x:v>Повседневные</x:v>
      </x:c>
      <x:c r="C6" s="128" t="n">
        <x:v>30000</x:v>
      </x:c>
      <x:c r="D6" s="130" t="n">
        <x:f>IF(A6="","",IF(H6&lt;&gt;"Да",0,SUMIFS(Operations[Сумма],Operations[Тип],"Расход",Operations[Категория],A6,Operations[Дата],"&gt;="&amp;'Настройки'!$B$3,Operations[Дата],"&lt;"&amp;DATE(YEAR('Настройки'!$B$3),MONTH('Настройки'!$B$3)+1,1))-SUMIFS(Operations[Сумма],Operations[Тип],"Возврат",Operations[Категория],A6,Operations[Дата],"&gt;="&amp;'Настройки'!$B$3,Operations[Дата],"&lt;"&amp;DATE(YEAR('Настройки'!$B$3),MONTH('Настройки'!$B$3)+1,1))))</x:f>
        <x:v>22000</x:v>
      </x:c>
      <x:c r="E6" s="130" t="n">
        <x:f>IF(A6="","",C6-D6)</x:f>
        <x:v>8000</x:v>
      </x:c>
      <x:c r="F6" s="195" t="n">
        <x:f>IF(A6="","",IF(C6=0,0,D6/C6))</x:f>
        <x:v>0.7333333333333333</x:v>
      </x:c>
      <x:c r="G6" s="129" t="str">
        <x:f>IF(A6="","",IF(C6=0,"Без лимита",IF(D6&gt;C6,"Перелимит",IF(D6=C6,"Лимит исчерпан",IF(D6/C6&gt;='Настройки'!$B$6,"Почти лимит","В норме")))))</x:f>
        <x:v>В норме</x:v>
      </x:c>
      <x:c r="H6" s="198" t="str">
        <x:v>Да</x:v>
      </x:c>
    </x:row>
    <x:row r="7">
      <x:c r="A7" s="133" t="str">
        <x:v>Транспорт</x:v>
      </x:c>
      <x:c r="B7" s="134" t="str">
        <x:v>Повседневные</x:v>
      </x:c>
      <x:c r="C7" s="137" t="n">
        <x:v>10000</x:v>
      </x:c>
      <x:c r="D7" s="139" t="n">
        <x:f>IF(A7="","",IF(H7&lt;&gt;"Да",0,SUMIFS(Operations[Сумма],Operations[Тип],"Расход",Operations[Категория],A7,Operations[Дата],"&gt;="&amp;'Настройки'!$B$3,Operations[Дата],"&lt;"&amp;DATE(YEAR('Настройки'!$B$3),MONTH('Настройки'!$B$3)+1,1))-SUMIFS(Operations[Сумма],Operations[Тип],"Возврат",Operations[Категория],A7,Operations[Дата],"&gt;="&amp;'Настройки'!$B$3,Operations[Дата],"&lt;"&amp;DATE(YEAR('Настройки'!$B$3),MONTH('Настройки'!$B$3)+1,1))))</x:f>
        <x:v>4000</x:v>
      </x:c>
      <x:c r="E7" s="139" t="n">
        <x:f>IF(A7="","",C7-D7)</x:f>
        <x:v>6000</x:v>
      </x:c>
      <x:c r="F7" s="196" t="n">
        <x:f>IF(A7="","",IF(C7=0,0,D7/C7))</x:f>
        <x:v>0.4</x:v>
      </x:c>
      <x:c r="G7" s="138" t="str">
        <x:f>IF(A7="","",IF(C7=0,"Без лимита",IF(D7&gt;C7,"Перелимит",IF(D7=C7,"Лимит исчерпан",IF(D7/C7&gt;='Настройки'!$B$6,"Почти лимит","В норме")))))</x:f>
        <x:v>В норме</x:v>
      </x:c>
      <x:c r="H7" s="199" t="str">
        <x:v>Да</x:v>
      </x:c>
    </x:row>
    <x:row r="8">
      <x:c r="A8" s="133" t="str">
        <x:v>Досуг</x:v>
      </x:c>
      <x:c r="B8" s="134" t="str">
        <x:v>Повседневные</x:v>
      </x:c>
      <x:c r="C8" s="137" t="n">
        <x:v>8000</x:v>
      </x:c>
      <x:c r="D8" s="139" t="n">
        <x:f>IF(A8="","",IF(H8&lt;&gt;"Да",0,SUMIFS(Operations[Сумма],Operations[Тип],"Расход",Operations[Категория],A8,Operations[Дата],"&gt;="&amp;'Настройки'!$B$3,Operations[Дата],"&lt;"&amp;DATE(YEAR('Настройки'!$B$3),MONTH('Настройки'!$B$3)+1,1))-SUMIFS(Operations[Сумма],Operations[Тип],"Возврат",Operations[Категория],A8,Operations[Дата],"&gt;="&amp;'Настройки'!$B$3,Operations[Дата],"&lt;"&amp;DATE(YEAR('Настройки'!$B$3),MONTH('Настройки'!$B$3)+1,1))))</x:f>
        <x:v>0</x:v>
      </x:c>
      <x:c r="E8" s="139" t="n">
        <x:f>IF(A8="","",C8-D8)</x:f>
        <x:v>8000</x:v>
      </x:c>
      <x:c r="F8" s="196" t="n">
        <x:f>IF(A8="","",IF(C8=0,0,D8/C8))</x:f>
        <x:v>0</x:v>
      </x:c>
      <x:c r="G8" s="138" t="str">
        <x:f>IF(A8="","",IF(C8=0,"Без лимита",IF(D8&gt;C8,"Перелимит",IF(D8=C8,"Лимит исчерпан",IF(D8/C8&gt;='Настройки'!$B$6,"Почти лимит","В норме")))))</x:f>
        <x:v>В норме</x:v>
      </x:c>
      <x:c r="H8" s="199" t="str">
        <x:v>Да</x:v>
      </x:c>
    </x:row>
    <x:row r="9">
      <x:c r="A9" s="133" t="str">
        <x:v>Дом и мелкие покупки</x:v>
      </x:c>
      <x:c r="B9" s="134" t="str">
        <x:v>Повседневные</x:v>
      </x:c>
      <x:c r="C9" s="137" t="n">
        <x:v>5000</x:v>
      </x:c>
      <x:c r="D9" s="139" t="n">
        <x:f>IF(A9="","",IF(H9&lt;&gt;"Да",0,SUMIFS(Operations[Сумма],Operations[Тип],"Расход",Operations[Категория],A9,Operations[Дата],"&gt;="&amp;'Настройки'!$B$3,Operations[Дата],"&lt;"&amp;DATE(YEAR('Настройки'!$B$3),MONTH('Настройки'!$B$3)+1,1))-SUMIFS(Operations[Сумма],Operations[Тип],"Возврат",Operations[Категория],A9,Operations[Дата],"&gt;="&amp;'Настройки'!$B$3,Operations[Дата],"&lt;"&amp;DATE(YEAR('Настройки'!$B$3),MONTH('Настройки'!$B$3)+1,1))))</x:f>
        <x:v>0</x:v>
      </x:c>
      <x:c r="E9" s="139" t="n">
        <x:f>IF(A9="","",C9-D9)</x:f>
        <x:v>5000</x:v>
      </x:c>
      <x:c r="F9" s="196" t="n">
        <x:f>IF(A9="","",IF(C9=0,0,D9/C9))</x:f>
        <x:v>0</x:v>
      </x:c>
      <x:c r="G9" s="138" t="str">
        <x:f>IF(A9="","",IF(C9=0,"Без лимита",IF(D9&gt;C9,"Перелимит",IF(D9=C9,"Лимит исчерпан",IF(D9/C9&gt;='Настройки'!$B$6,"Почти лимит","В норме")))))</x:f>
        <x:v>В норме</x:v>
      </x:c>
      <x:c r="H9" s="199" t="str">
        <x:v>Да</x:v>
      </x:c>
    </x:row>
    <x:row r="10">
      <x:c r="A10" s="133"/>
      <x:c r="B10" s="134"/>
      <x:c r="C10" s="137"/>
      <x:c r="D10" s="139" t="str">
        <x:f>IF(A10="","",IF(H10&lt;&gt;"Да",0,SUMIFS(Operations[Сумма],Operations[Тип],"Расход",Operations[Категория],A10,Operations[Дата],"&gt;="&amp;'Настройки'!$B$3,Operations[Дата],"&lt;"&amp;DATE(YEAR('Настройки'!$B$3),MONTH('Настройки'!$B$3)+1,1))-SUMIFS(Operations[Сумма],Operations[Тип],"Возврат",Operations[Категория],A10,Operations[Дата],"&gt;="&amp;'Настройки'!$B$3,Operations[Дата],"&lt;"&amp;DATE(YEAR('Настройки'!$B$3),MONTH('Настройки'!$B$3)+1,1))))</x:f>
      </x:c>
      <x:c r="E10" s="139" t="str">
        <x:f>IF(A10="","",C10-D10)</x:f>
      </x:c>
      <x:c r="F10" s="196" t="str">
        <x:f>IF(A10="","",IF(C10=0,0,D10/C10))</x:f>
      </x:c>
      <x:c r="G10" s="138" t="str">
        <x:f>IF(A10="","",IF(C10=0,"Без лимита",IF(D10&gt;C10,"Перелимит",IF(D10=C10,"Лимит исчерпан",IF(D10/C10&gt;='Настройки'!$B$6,"Почти лимит","В норме")))))</x:f>
      </x:c>
      <x:c r="H10" s="199"/>
    </x:row>
    <x:row r="11">
      <x:c r="A11" s="133"/>
      <x:c r="B11" s="134"/>
      <x:c r="C11" s="137"/>
      <x:c r="D11" s="139" t="str">
        <x:f>IF(A11="","",IF(H11&lt;&gt;"Да",0,SUMIFS(Operations[Сумма],Operations[Тип],"Расход",Operations[Категория],A11,Operations[Дата],"&gt;="&amp;'Настройки'!$B$3,Operations[Дата],"&lt;"&amp;DATE(YEAR('Настройки'!$B$3),MONTH('Настройки'!$B$3)+1,1))-SUMIFS(Operations[Сумма],Operations[Тип],"Возврат",Operations[Категория],A11,Operations[Дата],"&gt;="&amp;'Настройки'!$B$3,Operations[Дата],"&lt;"&amp;DATE(YEAR('Настройки'!$B$3),MONTH('Настройки'!$B$3)+1,1))))</x:f>
      </x:c>
      <x:c r="E11" s="139" t="str">
        <x:f>IF(A11="","",C11-D11)</x:f>
      </x:c>
      <x:c r="F11" s="196" t="str">
        <x:f>IF(A11="","",IF(C11=0,0,D11/C11))</x:f>
      </x:c>
      <x:c r="G11" s="138" t="str">
        <x:f>IF(A11="","",IF(C11=0,"Без лимита",IF(D11&gt;C11,"Перелимит",IF(D11=C11,"Лимит исчерпан",IF(D11/C11&gt;='Настройки'!$B$6,"Почти лимит","В норме")))))</x:f>
      </x:c>
      <x:c r="H11" s="199"/>
    </x:row>
    <x:row r="12">
      <x:c r="A12" s="133"/>
      <x:c r="B12" s="134"/>
      <x:c r="C12" s="137"/>
      <x:c r="D12" s="139" t="str">
        <x:f>IF(A12="","",IF(H12&lt;&gt;"Да",0,SUMIFS(Operations[Сумма],Operations[Тип],"Расход",Operations[Категория],A12,Operations[Дата],"&gt;="&amp;'Настройки'!$B$3,Operations[Дата],"&lt;"&amp;DATE(YEAR('Настройки'!$B$3),MONTH('Настройки'!$B$3)+1,1))-SUMIFS(Operations[Сумма],Operations[Тип],"Возврат",Operations[Категория],A12,Operations[Дата],"&gt;="&amp;'Настройки'!$B$3,Operations[Дата],"&lt;"&amp;DATE(YEAR('Настройки'!$B$3),MONTH('Настройки'!$B$3)+1,1))))</x:f>
      </x:c>
      <x:c r="E12" s="139" t="str">
        <x:f>IF(A12="","",C12-D12)</x:f>
      </x:c>
      <x:c r="F12" s="196" t="str">
        <x:f>IF(A12="","",IF(C12=0,0,D12/C12))</x:f>
      </x:c>
      <x:c r="G12" s="138" t="str">
        <x:f>IF(A12="","",IF(C12=0,"Без лимита",IF(D12&gt;C12,"Перелимит",IF(D12=C12,"Лимит исчерпан",IF(D12/C12&gt;='Настройки'!$B$6,"Почти лимит","В норме")))))</x:f>
      </x:c>
      <x:c r="H12" s="199"/>
    </x:row>
    <x:row r="13">
      <x:c r="A13" s="133"/>
      <x:c r="B13" s="134"/>
      <x:c r="C13" s="137"/>
      <x:c r="D13" s="139" t="str">
        <x:f>IF(A13="","",IF(H13&lt;&gt;"Да",0,SUMIFS(Operations[Сумма],Operations[Тип],"Расход",Operations[Категория],A13,Operations[Дата],"&gt;="&amp;'Настройки'!$B$3,Operations[Дата],"&lt;"&amp;DATE(YEAR('Настройки'!$B$3),MONTH('Настройки'!$B$3)+1,1))-SUMIFS(Operations[Сумма],Operations[Тип],"Возврат",Operations[Категория],A13,Operations[Дата],"&gt;="&amp;'Настройки'!$B$3,Operations[Дата],"&lt;"&amp;DATE(YEAR('Настройки'!$B$3),MONTH('Настройки'!$B$3)+1,1))))</x:f>
      </x:c>
      <x:c r="E13" s="139" t="str">
        <x:f>IF(A13="","",C13-D13)</x:f>
      </x:c>
      <x:c r="F13" s="196" t="str">
        <x:f>IF(A13="","",IF(C13=0,0,D13/C13))</x:f>
      </x:c>
      <x:c r="G13" s="138" t="str">
        <x:f>IF(A13="","",IF(C13=0,"Без лимита",IF(D13&gt;C13,"Перелимит",IF(D13=C13,"Лимит исчерпан",IF(D13/C13&gt;='Настройки'!$B$6,"Почти лимит","В норме")))))</x:f>
      </x:c>
      <x:c r="H13" s="199"/>
    </x:row>
    <x:row r="14">
      <x:c r="A14" s="133"/>
      <x:c r="B14" s="134"/>
      <x:c r="C14" s="137"/>
      <x:c r="D14" s="139" t="str">
        <x:f>IF(A14="","",IF(H14&lt;&gt;"Да",0,SUMIFS(Operations[Сумма],Operations[Тип],"Расход",Operations[Категория],A14,Operations[Дата],"&gt;="&amp;'Настройки'!$B$3,Operations[Дата],"&lt;"&amp;DATE(YEAR('Настройки'!$B$3),MONTH('Настройки'!$B$3)+1,1))-SUMIFS(Operations[Сумма],Operations[Тип],"Возврат",Operations[Категория],A14,Operations[Дата],"&gt;="&amp;'Настройки'!$B$3,Operations[Дата],"&lt;"&amp;DATE(YEAR('Настройки'!$B$3),MONTH('Настройки'!$B$3)+1,1))))</x:f>
      </x:c>
      <x:c r="E14" s="139" t="str">
        <x:f>IF(A14="","",C14-D14)</x:f>
      </x:c>
      <x:c r="F14" s="196" t="str">
        <x:f>IF(A14="","",IF(C14=0,0,D14/C14))</x:f>
      </x:c>
      <x:c r="G14" s="138" t="str">
        <x:f>IF(A14="","",IF(C14=0,"Без лимита",IF(D14&gt;C14,"Перелимит",IF(D14=C14,"Лимит исчерпан",IF(D14/C14&gt;='Настройки'!$B$6,"Почти лимит","В норме")))))</x:f>
      </x:c>
      <x:c r="H14" s="199"/>
    </x:row>
    <x:row r="15">
      <x:c r="A15" s="133"/>
      <x:c r="B15" s="134"/>
      <x:c r="C15" s="137"/>
      <x:c r="D15" s="139" t="str">
        <x:f>IF(A15="","",IF(H15&lt;&gt;"Да",0,SUMIFS(Operations[Сумма],Operations[Тип],"Расход",Operations[Категория],A15,Operations[Дата],"&gt;="&amp;'Настройки'!$B$3,Operations[Дата],"&lt;"&amp;DATE(YEAR('Настройки'!$B$3),MONTH('Настройки'!$B$3)+1,1))-SUMIFS(Operations[Сумма],Operations[Тип],"Возврат",Operations[Категория],A15,Operations[Дата],"&gt;="&amp;'Настройки'!$B$3,Operations[Дата],"&lt;"&amp;DATE(YEAR('Настройки'!$B$3),MONTH('Настройки'!$B$3)+1,1))))</x:f>
      </x:c>
      <x:c r="E15" s="139" t="str">
        <x:f>IF(A15="","",C15-D15)</x:f>
      </x:c>
      <x:c r="F15" s="196" t="str">
        <x:f>IF(A15="","",IF(C15=0,0,D15/C15))</x:f>
      </x:c>
      <x:c r="G15" s="138" t="str">
        <x:f>IF(A15="","",IF(C15=0,"Без лимита",IF(D15&gt;C15,"Перелимит",IF(D15=C15,"Лимит исчерпан",IF(D15/C15&gt;='Настройки'!$B$6,"Почти лимит","В норме")))))</x:f>
      </x:c>
      <x:c r="H15" s="199"/>
    </x:row>
    <x:row r="16">
      <x:c r="A16" s="133"/>
      <x:c r="B16" s="134"/>
      <x:c r="C16" s="137"/>
      <x:c r="D16" s="139" t="str">
        <x:f>IF(A16="","",IF(H16&lt;&gt;"Да",0,SUMIFS(Operations[Сумма],Operations[Тип],"Расход",Operations[Категория],A16,Operations[Дата],"&gt;="&amp;'Настройки'!$B$3,Operations[Дата],"&lt;"&amp;DATE(YEAR('Настройки'!$B$3),MONTH('Настройки'!$B$3)+1,1))-SUMIFS(Operations[Сумма],Operations[Тип],"Возврат",Operations[Категория],A16,Operations[Дата],"&gt;="&amp;'Настройки'!$B$3,Operations[Дата],"&lt;"&amp;DATE(YEAR('Настройки'!$B$3),MONTH('Настройки'!$B$3)+1,1))))</x:f>
      </x:c>
      <x:c r="E16" s="139" t="str">
        <x:f>IF(A16="","",C16-D16)</x:f>
      </x:c>
      <x:c r="F16" s="196" t="str">
        <x:f>IF(A16="","",IF(C16=0,0,D16/C16))</x:f>
      </x:c>
      <x:c r="G16" s="138" t="str">
        <x:f>IF(A16="","",IF(C16=0,"Без лимита",IF(D16&gt;C16,"Перелимит",IF(D16=C16,"Лимит исчерпан",IF(D16/C16&gt;='Настройки'!$B$6,"Почти лимит","В норме")))))</x:f>
      </x:c>
      <x:c r="H16" s="199"/>
    </x:row>
    <x:row r="17">
      <x:c r="A17" s="133"/>
      <x:c r="B17" s="134"/>
      <x:c r="C17" s="137"/>
      <x:c r="D17" s="139" t="str">
        <x:f>IF(A17="","",IF(H17&lt;&gt;"Да",0,SUMIFS(Operations[Сумма],Operations[Тип],"Расход",Operations[Категория],A17,Operations[Дата],"&gt;="&amp;'Настройки'!$B$3,Operations[Дата],"&lt;"&amp;DATE(YEAR('Настройки'!$B$3),MONTH('Настройки'!$B$3)+1,1))-SUMIFS(Operations[Сумма],Operations[Тип],"Возврат",Operations[Категория],A17,Operations[Дата],"&gt;="&amp;'Настройки'!$B$3,Operations[Дата],"&lt;"&amp;DATE(YEAR('Настройки'!$B$3),MONTH('Настройки'!$B$3)+1,1))))</x:f>
      </x:c>
      <x:c r="E17" s="139" t="str">
        <x:f>IF(A17="","",C17-D17)</x:f>
      </x:c>
      <x:c r="F17" s="196" t="str">
        <x:f>IF(A17="","",IF(C17=0,0,D17/C17))</x:f>
      </x:c>
      <x:c r="G17" s="138" t="str">
        <x:f>IF(A17="","",IF(C17=0,"Без лимита",IF(D17&gt;C17,"Перелимит",IF(D17=C17,"Лимит исчерпан",IF(D17/C17&gt;='Настройки'!$B$6,"Почти лимит","В норме")))))</x:f>
      </x:c>
      <x:c r="H17" s="199"/>
    </x:row>
    <x:row r="18">
      <x:c r="A18" s="133"/>
      <x:c r="B18" s="134"/>
      <x:c r="C18" s="137"/>
      <x:c r="D18" s="139" t="str">
        <x:f>IF(A18="","",IF(H18&lt;&gt;"Да",0,SUMIFS(Operations[Сумма],Operations[Тип],"Расход",Operations[Категория],A18,Operations[Дата],"&gt;="&amp;'Настройки'!$B$3,Operations[Дата],"&lt;"&amp;DATE(YEAR('Настройки'!$B$3),MONTH('Настройки'!$B$3)+1,1))-SUMIFS(Operations[Сумма],Operations[Тип],"Возврат",Operations[Категория],A18,Operations[Дата],"&gt;="&amp;'Настройки'!$B$3,Operations[Дата],"&lt;"&amp;DATE(YEAR('Настройки'!$B$3),MONTH('Настройки'!$B$3)+1,1))))</x:f>
      </x:c>
      <x:c r="E18" s="139" t="str">
        <x:f>IF(A18="","",C18-D18)</x:f>
      </x:c>
      <x:c r="F18" s="196" t="str">
        <x:f>IF(A18="","",IF(C18=0,0,D18/C18))</x:f>
      </x:c>
      <x:c r="G18" s="138" t="str">
        <x:f>IF(A18="","",IF(C18=0,"Без лимита",IF(D18&gt;C18,"Перелимит",IF(D18=C18,"Лимит исчерпан",IF(D18/C18&gt;='Настройки'!$B$6,"Почти лимит","В норме")))))</x:f>
      </x:c>
      <x:c r="H18" s="199"/>
    </x:row>
    <x:row r="19">
      <x:c r="A19" s="133"/>
      <x:c r="B19" s="134"/>
      <x:c r="C19" s="137"/>
      <x:c r="D19" s="139" t="str">
        <x:f>IF(A19="","",IF(H19&lt;&gt;"Да",0,SUMIFS(Operations[Сумма],Operations[Тип],"Расход",Operations[Категория],A19,Operations[Дата],"&gt;="&amp;'Настройки'!$B$3,Operations[Дата],"&lt;"&amp;DATE(YEAR('Настройки'!$B$3),MONTH('Настройки'!$B$3)+1,1))-SUMIFS(Operations[Сумма],Operations[Тип],"Возврат",Operations[Категория],A19,Operations[Дата],"&gt;="&amp;'Настройки'!$B$3,Operations[Дата],"&lt;"&amp;DATE(YEAR('Настройки'!$B$3),MONTH('Настройки'!$B$3)+1,1))))</x:f>
      </x:c>
      <x:c r="E19" s="139" t="str">
        <x:f>IF(A19="","",C19-D19)</x:f>
      </x:c>
      <x:c r="F19" s="196" t="str">
        <x:f>IF(A19="","",IF(C19=0,0,D19/C19))</x:f>
      </x:c>
      <x:c r="G19" s="138" t="str">
        <x:f>IF(A19="","",IF(C19=0,"Без лимита",IF(D19&gt;C19,"Перелимит",IF(D19=C19,"Лимит исчерпан",IF(D19/C19&gt;='Настройки'!$B$6,"Почти лимит","В норме")))))</x:f>
      </x:c>
      <x:c r="H19" s="199"/>
    </x:row>
    <x:row r="20">
      <x:c r="A20" s="133"/>
      <x:c r="B20" s="134"/>
      <x:c r="C20" s="137"/>
      <x:c r="D20" s="139" t="str">
        <x:f>IF(A20="","",IF(H20&lt;&gt;"Да",0,SUMIFS(Operations[Сумма],Operations[Тип],"Расход",Operations[Категория],A20,Operations[Дата],"&gt;="&amp;'Настройки'!$B$3,Operations[Дата],"&lt;"&amp;DATE(YEAR('Настройки'!$B$3),MONTH('Настройки'!$B$3)+1,1))-SUMIFS(Operations[Сумма],Operations[Тип],"Возврат",Operations[Категория],A20,Operations[Дата],"&gt;="&amp;'Настройки'!$B$3,Operations[Дата],"&lt;"&amp;DATE(YEAR('Настройки'!$B$3),MONTH('Настройки'!$B$3)+1,1))))</x:f>
      </x:c>
      <x:c r="E20" s="139" t="str">
        <x:f>IF(A20="","",C20-D20)</x:f>
      </x:c>
      <x:c r="F20" s="196" t="str">
        <x:f>IF(A20="","",IF(C20=0,0,D20/C20))</x:f>
      </x:c>
      <x:c r="G20" s="138" t="str">
        <x:f>IF(A20="","",IF(C20=0,"Без лимита",IF(D20&gt;C20,"Перелимит",IF(D20=C20,"Лимит исчерпан",IF(D20/C20&gt;='Настройки'!$B$6,"Почти лимит","В норме")))))</x:f>
      </x:c>
      <x:c r="H20" s="199"/>
    </x:row>
    <x:row r="21">
      <x:c r="A21" s="133"/>
      <x:c r="B21" s="134"/>
      <x:c r="C21" s="137"/>
      <x:c r="D21" s="139" t="str">
        <x:f>IF(A21="","",IF(H21&lt;&gt;"Да",0,SUMIFS(Operations[Сумма],Operations[Тип],"Расход",Operations[Категория],A21,Operations[Дата],"&gt;="&amp;'Настройки'!$B$3,Operations[Дата],"&lt;"&amp;DATE(YEAR('Настройки'!$B$3),MONTH('Настройки'!$B$3)+1,1))-SUMIFS(Operations[Сумма],Operations[Тип],"Возврат",Operations[Категория],A21,Operations[Дата],"&gt;="&amp;'Настройки'!$B$3,Operations[Дата],"&lt;"&amp;DATE(YEAR('Настройки'!$B$3),MONTH('Настройки'!$B$3)+1,1))))</x:f>
      </x:c>
      <x:c r="E21" s="139" t="str">
        <x:f>IF(A21="","",C21-D21)</x:f>
      </x:c>
      <x:c r="F21" s="196" t="str">
        <x:f>IF(A21="","",IF(C21=0,0,D21/C21))</x:f>
      </x:c>
      <x:c r="G21" s="138" t="str">
        <x:f>IF(A21="","",IF(C21=0,"Без лимита",IF(D21&gt;C21,"Перелимит",IF(D21=C21,"Лимит исчерпан",IF(D21/C21&gt;='Настройки'!$B$6,"Почти лимит","В норме")))))</x:f>
      </x:c>
      <x:c r="H21" s="199"/>
    </x:row>
    <x:row r="22">
      <x:c r="A22" s="133"/>
      <x:c r="B22" s="134"/>
      <x:c r="C22" s="137"/>
      <x:c r="D22" s="139" t="str">
        <x:f>IF(A22="","",IF(H22&lt;&gt;"Да",0,SUMIFS(Operations[Сумма],Operations[Тип],"Расход",Operations[Категория],A22,Operations[Дата],"&gt;="&amp;'Настройки'!$B$3,Operations[Дата],"&lt;"&amp;DATE(YEAR('Настройки'!$B$3),MONTH('Настройки'!$B$3)+1,1))-SUMIFS(Operations[Сумма],Operations[Тип],"Возврат",Operations[Категория],A22,Operations[Дата],"&gt;="&amp;'Настройки'!$B$3,Operations[Дата],"&lt;"&amp;DATE(YEAR('Настройки'!$B$3),MONTH('Настройки'!$B$3)+1,1))))</x:f>
      </x:c>
      <x:c r="E22" s="139" t="str">
        <x:f>IF(A22="","",C22-D22)</x:f>
      </x:c>
      <x:c r="F22" s="196" t="str">
        <x:f>IF(A22="","",IF(C22=0,0,D22/C22))</x:f>
      </x:c>
      <x:c r="G22" s="138" t="str">
        <x:f>IF(A22="","",IF(C22=0,"Без лимита",IF(D22&gt;C22,"Перелимит",IF(D22=C22,"Лимит исчерпан",IF(D22/C22&gt;='Настройки'!$B$6,"Почти лимит","В норме")))))</x:f>
      </x:c>
      <x:c r="H22" s="199"/>
    </x:row>
    <x:row r="23">
      <x:c r="A23" s="133"/>
      <x:c r="B23" s="134"/>
      <x:c r="C23" s="137"/>
      <x:c r="D23" s="139" t="str">
        <x:f>IF(A23="","",IF(H23&lt;&gt;"Да",0,SUMIFS(Operations[Сумма],Operations[Тип],"Расход",Operations[Категория],A23,Operations[Дата],"&gt;="&amp;'Настройки'!$B$3,Operations[Дата],"&lt;"&amp;DATE(YEAR('Настройки'!$B$3),MONTH('Настройки'!$B$3)+1,1))-SUMIFS(Operations[Сумма],Operations[Тип],"Возврат",Operations[Категория],A23,Operations[Дата],"&gt;="&amp;'Настройки'!$B$3,Operations[Дата],"&lt;"&amp;DATE(YEAR('Настройки'!$B$3),MONTH('Настройки'!$B$3)+1,1))))</x:f>
      </x:c>
      <x:c r="E23" s="139" t="str">
        <x:f>IF(A23="","",C23-D23)</x:f>
      </x:c>
      <x:c r="F23" s="196" t="str">
        <x:f>IF(A23="","",IF(C23=0,0,D23/C23))</x:f>
      </x:c>
      <x:c r="G23" s="138" t="str">
        <x:f>IF(A23="","",IF(C23=0,"Без лимита",IF(D23&gt;C23,"Перелимит",IF(D23=C23,"Лимит исчерпан",IF(D23/C23&gt;='Настройки'!$B$6,"Почти лимит","В норме")))))</x:f>
      </x:c>
      <x:c r="H23" s="199"/>
    </x:row>
    <x:row r="24">
      <x:c r="A24" s="133"/>
      <x:c r="B24" s="134"/>
      <x:c r="C24" s="137"/>
      <x:c r="D24" s="139" t="str">
        <x:f>IF(A24="","",IF(H24&lt;&gt;"Да",0,SUMIFS(Operations[Сумма],Operations[Тип],"Расход",Operations[Категория],A24,Operations[Дата],"&gt;="&amp;'Настройки'!$B$3,Operations[Дата],"&lt;"&amp;DATE(YEAR('Настройки'!$B$3),MONTH('Настройки'!$B$3)+1,1))-SUMIFS(Operations[Сумма],Operations[Тип],"Возврат",Operations[Категория],A24,Operations[Дата],"&gt;="&amp;'Настройки'!$B$3,Operations[Дата],"&lt;"&amp;DATE(YEAR('Настройки'!$B$3),MONTH('Настройки'!$B$3)+1,1))))</x:f>
      </x:c>
      <x:c r="E24" s="139" t="str">
        <x:f>IF(A24="","",C24-D24)</x:f>
      </x:c>
      <x:c r="F24" s="196" t="str">
        <x:f>IF(A24="","",IF(C24=0,0,D24/C24))</x:f>
      </x:c>
      <x:c r="G24" s="138" t="str">
        <x:f>IF(A24="","",IF(C24=0,"Без лимита",IF(D24&gt;C24,"Перелимит",IF(D24=C24,"Лимит исчерпан",IF(D24/C24&gt;='Настройки'!$B$6,"Почти лимит","В норме")))))</x:f>
      </x:c>
      <x:c r="H24" s="199"/>
    </x:row>
    <x:row r="25">
      <x:c r="A25" s="142"/>
      <x:c r="B25" s="143"/>
      <x:c r="C25" s="146"/>
      <x:c r="D25" s="148" t="str">
        <x:f>IF(A25="","",IF(H25&lt;&gt;"Да",0,SUMIFS(Operations[Сумма],Operations[Тип],"Расход",Operations[Категория],A25,Operations[Дата],"&gt;="&amp;'Настройки'!$B$3,Operations[Дата],"&lt;"&amp;DATE(YEAR('Настройки'!$B$3),MONTH('Настройки'!$B$3)+1,1))-SUMIFS(Operations[Сумма],Operations[Тип],"Возврат",Operations[Категория],A25,Operations[Дата],"&gt;="&amp;'Настройки'!$B$3,Operations[Дата],"&lt;"&amp;DATE(YEAR('Настройки'!$B$3),MONTH('Настройки'!$B$3)+1,1))))</x:f>
      </x:c>
      <x:c r="E25" s="148" t="str">
        <x:f>IF(A25="","",C25-D25)</x:f>
      </x:c>
      <x:c r="F25" s="197" t="str">
        <x:f>IF(A25="","",IF(C25=0,0,D25/C25))</x:f>
      </x:c>
      <x:c r="G25" s="147" t="str">
        <x:f>IF(A25="","",IF(C25=0,"Без лимита",IF(D25&gt;C25,"Перелимит",IF(D25=C25,"Лимит исчерпан",IF(D25/C25&gt;='Настройки'!$B$6,"Почти лимит","В норме")))))</x:f>
      </x:c>
      <x:c r="H25" s="200"/>
    </x:row>
  </x:sheetData>
  <x:mergeCells>
    <x:mergeCell ref="A1:H1"/>
    <x:mergeCell ref="A3:H3"/>
  </x:mergeCells>
  <x:conditionalFormatting sqref="G6:G25">
    <x:cfRule type="containsText" dxfId="2" priority="1" operator="containsText" text="Перелимит"/>
    <x:cfRule type="containsText" dxfId="3" priority="2" operator="containsText" text="Почти"/>
  </x:conditionalFormatting>
  <x:dataValidations count="2">
    <x:dataValidation type="list" sqref="A6:A25">
      <x:formula1>"Жильё,ЖКХ и связь,Дети,Продукты,Транспорт,Досуг,Дом и мелкие покупки"</x:formula1>
    </x:dataValidation>
    <x:dataValidation type="list" sqref="H6:H25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215b7e726f40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25" hidden="0" customWidth="1"/>
    <x:col min="4" max="4" width="18" hidden="0" customWidth="1"/>
    <x:col min="5" max="5" width="20" hidden="0" customWidth="1"/>
    <x:col min="6" max="6" width="38" hidden="0" customWidth="1"/>
  </x:cols>
  <x:sheetData>
    <x:row r="1" ht="38" customHeight="1">
      <x:c r="A1" s="4" t="str">
        <x:v>Операции — только фактические деньги</x:v>
      </x:c>
      <x:c r="B1" s="4" t="str">
        <x:v>Операции — только фактические деньги</x:v>
      </x:c>
      <x:c r="C1" s="4" t="str">
        <x:v>Операции — только фактические деньги</x:v>
      </x:c>
      <x:c r="D1" s="4" t="str">
        <x:v>Операции — только фактические деньги</x:v>
      </x:c>
      <x:c r="E1" s="4" t="str">
        <x:v>Операции — только фактические деньги</x:v>
      </x:c>
      <x:c r="F1" s="4" t="str">
        <x:v>Операции — только фактические деньги</x:v>
      </x:c>
    </x:row>
    <x:row r="3">
      <x:c r="A3" s="62" t="str">
        <x:v>Не переносите сюда будущий план. Записывайте оплату после того, как она произошла.</x:v>
      </x:c>
      <x:c r="B3" s="62"/>
      <x:c r="C3" s="62"/>
      <x:c r="D3" s="62"/>
      <x:c r="E3" s="62"/>
      <x:c r="F3" s="62"/>
    </x:row>
    <x:row r="5" ht="34" customHeight="1">
      <x:c r="A5" s="37" t="str">
        <x:v>Дата</x:v>
      </x:c>
      <x:c r="B5" s="38" t="str">
        <x:v>Тип</x:v>
      </x:c>
      <x:c r="C5" s="38" t="str">
        <x:v>Категория</x:v>
      </x:c>
      <x:c r="D5" s="38" t="str">
        <x:v>Сумма</x:v>
      </x:c>
      <x:c r="E5" s="38" t="str">
        <x:v>Счёт</x:v>
      </x:c>
      <x:c r="F5" s="39" t="str">
        <x:v>Комментарий</x:v>
      </x:c>
    </x:row>
    <x:row r="6">
      <x:c r="A6" s="185" t="n">
        <x:v>46204</x:v>
      </x:c>
      <x:c r="B6" s="151" t="str">
        <x:v>Доход</x:v>
      </x:c>
      <x:c r="C6" s="125" t="str"/>
      <x:c r="D6" s="127" t="n">
        <x:v>180000</x:v>
      </x:c>
      <x:c r="E6" s="151" t="str">
        <x:v>Основной</x:v>
      </x:c>
      <x:c r="F6" s="166" t="str">
        <x:v>G-002</x:v>
      </x:c>
    </x:row>
    <x:row r="7">
      <x:c r="A7" s="186" t="n">
        <x:v>46208</x:v>
      </x:c>
      <x:c r="B7" s="152" t="str">
        <x:v>Расход</x:v>
      </x:c>
      <x:c r="C7" s="134" t="str">
        <x:v>Жильё</x:v>
      </x:c>
      <x:c r="D7" s="136" t="n">
        <x:v>45000</x:v>
      </x:c>
      <x:c r="E7" s="152" t="str">
        <x:v>Основной</x:v>
      </x:c>
      <x:c r="F7" s="167" t="str">
        <x:v>G-002</x:v>
      </x:c>
    </x:row>
    <x:row r="8">
      <x:c r="A8" s="186" t="n">
        <x:v>46211</x:v>
      </x:c>
      <x:c r="B8" s="152" t="str">
        <x:v>Расход</x:v>
      </x:c>
      <x:c r="C8" s="134" t="str">
        <x:v>Продукты</x:v>
      </x:c>
      <x:c r="D8" s="136" t="n">
        <x:v>22000</x:v>
      </x:c>
      <x:c r="E8" s="152" t="str">
        <x:v>Основной</x:v>
      </x:c>
      <x:c r="F8" s="167" t="str">
        <x:v>G-002</x:v>
      </x:c>
    </x:row>
    <x:row r="9">
      <x:c r="A9" s="186" t="n">
        <x:v>46212</x:v>
      </x:c>
      <x:c r="B9" s="152" t="str">
        <x:v>Расход</x:v>
      </x:c>
      <x:c r="C9" s="134" t="str">
        <x:v>Транспорт</x:v>
      </x:c>
      <x:c r="D9" s="136" t="n">
        <x:v>4000</x:v>
      </x:c>
      <x:c r="E9" s="152" t="str">
        <x:v>Основной</x:v>
      </x:c>
      <x:c r="F9" s="167" t="str">
        <x:v>G-002</x:v>
      </x:c>
    </x:row>
    <x:row r="10">
      <x:c r="A10" s="186"/>
      <x:c r="B10" s="152"/>
      <x:c r="C10" s="134"/>
      <x:c r="D10" s="136"/>
      <x:c r="E10" s="152"/>
      <x:c r="F10" s="167"/>
    </x:row>
    <x:row r="11">
      <x:c r="A11" s="186"/>
      <x:c r="B11" s="152"/>
      <x:c r="C11" s="134"/>
      <x:c r="D11" s="136"/>
      <x:c r="E11" s="152"/>
      <x:c r="F11" s="167"/>
    </x:row>
    <x:row r="12">
      <x:c r="A12" s="186"/>
      <x:c r="B12" s="152"/>
      <x:c r="C12" s="134"/>
      <x:c r="D12" s="136"/>
      <x:c r="E12" s="152"/>
      <x:c r="F12" s="167"/>
    </x:row>
    <x:row r="13">
      <x:c r="A13" s="186"/>
      <x:c r="B13" s="152"/>
      <x:c r="C13" s="134"/>
      <x:c r="D13" s="136"/>
      <x:c r="E13" s="152"/>
      <x:c r="F13" s="167"/>
    </x:row>
    <x:row r="14">
      <x:c r="A14" s="186"/>
      <x:c r="B14" s="152"/>
      <x:c r="C14" s="134"/>
      <x:c r="D14" s="136"/>
      <x:c r="E14" s="152"/>
      <x:c r="F14" s="167"/>
    </x:row>
    <x:row r="15">
      <x:c r="A15" s="186"/>
      <x:c r="B15" s="152"/>
      <x:c r="C15" s="134"/>
      <x:c r="D15" s="136"/>
      <x:c r="E15" s="152"/>
      <x:c r="F15" s="167"/>
    </x:row>
    <x:row r="16">
      <x:c r="A16" s="186"/>
      <x:c r="B16" s="152"/>
      <x:c r="C16" s="134"/>
      <x:c r="D16" s="136"/>
      <x:c r="E16" s="152"/>
      <x:c r="F16" s="167"/>
    </x:row>
    <x:row r="17">
      <x:c r="A17" s="186"/>
      <x:c r="B17" s="152"/>
      <x:c r="C17" s="134"/>
      <x:c r="D17" s="136"/>
      <x:c r="E17" s="152"/>
      <x:c r="F17" s="167"/>
    </x:row>
    <x:row r="18">
      <x:c r="A18" s="186"/>
      <x:c r="B18" s="152"/>
      <x:c r="C18" s="134"/>
      <x:c r="D18" s="136"/>
      <x:c r="E18" s="152"/>
      <x:c r="F18" s="167"/>
    </x:row>
    <x:row r="19">
      <x:c r="A19" s="186"/>
      <x:c r="B19" s="152"/>
      <x:c r="C19" s="134"/>
      <x:c r="D19" s="136"/>
      <x:c r="E19" s="152"/>
      <x:c r="F19" s="167"/>
    </x:row>
    <x:row r="20">
      <x:c r="A20" s="186"/>
      <x:c r="B20" s="152"/>
      <x:c r="C20" s="134"/>
      <x:c r="D20" s="136"/>
      <x:c r="E20" s="152"/>
      <x:c r="F20" s="167"/>
    </x:row>
    <x:row r="21">
      <x:c r="A21" s="186"/>
      <x:c r="B21" s="152"/>
      <x:c r="C21" s="134"/>
      <x:c r="D21" s="136"/>
      <x:c r="E21" s="152"/>
      <x:c r="F21" s="167"/>
    </x:row>
    <x:row r="22">
      <x:c r="A22" s="186"/>
      <x:c r="B22" s="152"/>
      <x:c r="C22" s="134"/>
      <x:c r="D22" s="136"/>
      <x:c r="E22" s="152"/>
      <x:c r="F22" s="167"/>
    </x:row>
    <x:row r="23">
      <x:c r="A23" s="186"/>
      <x:c r="B23" s="152"/>
      <x:c r="C23" s="134"/>
      <x:c r="D23" s="136"/>
      <x:c r="E23" s="152"/>
      <x:c r="F23" s="167"/>
    </x:row>
    <x:row r="24">
      <x:c r="A24" s="186"/>
      <x:c r="B24" s="152"/>
      <x:c r="C24" s="134"/>
      <x:c r="D24" s="136"/>
      <x:c r="E24" s="152"/>
      <x:c r="F24" s="167"/>
    </x:row>
    <x:row r="25">
      <x:c r="A25" s="186"/>
      <x:c r="B25" s="152"/>
      <x:c r="C25" s="134"/>
      <x:c r="D25" s="136"/>
      <x:c r="E25" s="152"/>
      <x:c r="F25" s="167"/>
    </x:row>
    <x:row r="26">
      <x:c r="A26" s="186"/>
      <x:c r="B26" s="152"/>
      <x:c r="C26" s="134"/>
      <x:c r="D26" s="136"/>
      <x:c r="E26" s="152"/>
      <x:c r="F26" s="167"/>
    </x:row>
    <x:row r="27">
      <x:c r="A27" s="186"/>
      <x:c r="B27" s="152"/>
      <x:c r="C27" s="134"/>
      <x:c r="D27" s="136"/>
      <x:c r="E27" s="152"/>
      <x:c r="F27" s="167"/>
    </x:row>
    <x:row r="28">
      <x:c r="A28" s="186"/>
      <x:c r="B28" s="152"/>
      <x:c r="C28" s="134"/>
      <x:c r="D28" s="136"/>
      <x:c r="E28" s="152"/>
      <x:c r="F28" s="167"/>
    </x:row>
    <x:row r="29">
      <x:c r="A29" s="186"/>
      <x:c r="B29" s="152"/>
      <x:c r="C29" s="134"/>
      <x:c r="D29" s="136"/>
      <x:c r="E29" s="152"/>
      <x:c r="F29" s="167"/>
    </x:row>
    <x:row r="30">
      <x:c r="A30" s="186"/>
      <x:c r="B30" s="152"/>
      <x:c r="C30" s="134"/>
      <x:c r="D30" s="136"/>
      <x:c r="E30" s="152"/>
      <x:c r="F30" s="167"/>
    </x:row>
    <x:row r="31">
      <x:c r="A31" s="186"/>
      <x:c r="B31" s="152"/>
      <x:c r="C31" s="134"/>
      <x:c r="D31" s="136"/>
      <x:c r="E31" s="152"/>
      <x:c r="F31" s="167"/>
    </x:row>
    <x:row r="32">
      <x:c r="A32" s="186"/>
      <x:c r="B32" s="152"/>
      <x:c r="C32" s="134"/>
      <x:c r="D32" s="136"/>
      <x:c r="E32" s="152"/>
      <x:c r="F32" s="167"/>
    </x:row>
    <x:row r="33">
      <x:c r="A33" s="186"/>
      <x:c r="B33" s="152"/>
      <x:c r="C33" s="134"/>
      <x:c r="D33" s="136"/>
      <x:c r="E33" s="152"/>
      <x:c r="F33" s="167"/>
    </x:row>
    <x:row r="34">
      <x:c r="A34" s="186"/>
      <x:c r="B34" s="152"/>
      <x:c r="C34" s="134"/>
      <x:c r="D34" s="136"/>
      <x:c r="E34" s="152"/>
      <x:c r="F34" s="167"/>
    </x:row>
    <x:row r="35">
      <x:c r="A35" s="186"/>
      <x:c r="B35" s="152"/>
      <x:c r="C35" s="134"/>
      <x:c r="D35" s="136"/>
      <x:c r="E35" s="152"/>
      <x:c r="F35" s="167"/>
    </x:row>
    <x:row r="36">
      <x:c r="A36" s="186"/>
      <x:c r="B36" s="152"/>
      <x:c r="C36" s="134"/>
      <x:c r="D36" s="136"/>
      <x:c r="E36" s="152"/>
      <x:c r="F36" s="167"/>
    </x:row>
    <x:row r="37">
      <x:c r="A37" s="186"/>
      <x:c r="B37" s="152"/>
      <x:c r="C37" s="134"/>
      <x:c r="D37" s="136"/>
      <x:c r="E37" s="152"/>
      <x:c r="F37" s="167"/>
    </x:row>
    <x:row r="38">
      <x:c r="A38" s="186"/>
      <x:c r="B38" s="152"/>
      <x:c r="C38" s="134"/>
      <x:c r="D38" s="136"/>
      <x:c r="E38" s="152"/>
      <x:c r="F38" s="167"/>
    </x:row>
    <x:row r="39">
      <x:c r="A39" s="186"/>
      <x:c r="B39" s="152"/>
      <x:c r="C39" s="134"/>
      <x:c r="D39" s="136"/>
      <x:c r="E39" s="152"/>
      <x:c r="F39" s="167"/>
    </x:row>
    <x:row r="40">
      <x:c r="A40" s="186"/>
      <x:c r="B40" s="152"/>
      <x:c r="C40" s="134"/>
      <x:c r="D40" s="136"/>
      <x:c r="E40" s="152"/>
      <x:c r="F40" s="167"/>
    </x:row>
    <x:row r="41">
      <x:c r="A41" s="186"/>
      <x:c r="B41" s="152"/>
      <x:c r="C41" s="134"/>
      <x:c r="D41" s="136"/>
      <x:c r="E41" s="152"/>
      <x:c r="F41" s="167"/>
    </x:row>
    <x:row r="42">
      <x:c r="A42" s="186"/>
      <x:c r="B42" s="152"/>
      <x:c r="C42" s="134"/>
      <x:c r="D42" s="136"/>
      <x:c r="E42" s="152"/>
      <x:c r="F42" s="167"/>
    </x:row>
    <x:row r="43">
      <x:c r="A43" s="186"/>
      <x:c r="B43" s="152"/>
      <x:c r="C43" s="134"/>
      <x:c r="D43" s="136"/>
      <x:c r="E43" s="152"/>
      <x:c r="F43" s="167"/>
    </x:row>
    <x:row r="44">
      <x:c r="A44" s="186"/>
      <x:c r="B44" s="152"/>
      <x:c r="C44" s="134"/>
      <x:c r="D44" s="136"/>
      <x:c r="E44" s="152"/>
      <x:c r="F44" s="167"/>
    </x:row>
    <x:row r="45">
      <x:c r="A45" s="186"/>
      <x:c r="B45" s="152"/>
      <x:c r="C45" s="134"/>
      <x:c r="D45" s="136"/>
      <x:c r="E45" s="152"/>
      <x:c r="F45" s="167"/>
    </x:row>
    <x:row r="46">
      <x:c r="A46" s="186"/>
      <x:c r="B46" s="152"/>
      <x:c r="C46" s="134"/>
      <x:c r="D46" s="136"/>
      <x:c r="E46" s="152"/>
      <x:c r="F46" s="167"/>
    </x:row>
    <x:row r="47">
      <x:c r="A47" s="186"/>
      <x:c r="B47" s="152"/>
      <x:c r="C47" s="134"/>
      <x:c r="D47" s="136"/>
      <x:c r="E47" s="152"/>
      <x:c r="F47" s="167"/>
    </x:row>
    <x:row r="48">
      <x:c r="A48" s="186"/>
      <x:c r="B48" s="152"/>
      <x:c r="C48" s="134"/>
      <x:c r="D48" s="136"/>
      <x:c r="E48" s="152"/>
      <x:c r="F48" s="167"/>
    </x:row>
    <x:row r="49">
      <x:c r="A49" s="186"/>
      <x:c r="B49" s="152"/>
      <x:c r="C49" s="134"/>
      <x:c r="D49" s="136"/>
      <x:c r="E49" s="152"/>
      <x:c r="F49" s="167"/>
    </x:row>
    <x:row r="50">
      <x:c r="A50" s="186"/>
      <x:c r="B50" s="152"/>
      <x:c r="C50" s="134"/>
      <x:c r="D50" s="136"/>
      <x:c r="E50" s="152"/>
      <x:c r="F50" s="167"/>
    </x:row>
    <x:row r="51">
      <x:c r="A51" s="186"/>
      <x:c r="B51" s="152"/>
      <x:c r="C51" s="134"/>
      <x:c r="D51" s="136"/>
      <x:c r="E51" s="152"/>
      <x:c r="F51" s="167"/>
    </x:row>
    <x:row r="52">
      <x:c r="A52" s="186"/>
      <x:c r="B52" s="152"/>
      <x:c r="C52" s="134"/>
      <x:c r="D52" s="136"/>
      <x:c r="E52" s="152"/>
      <x:c r="F52" s="167"/>
    </x:row>
    <x:row r="53">
      <x:c r="A53" s="186"/>
      <x:c r="B53" s="152"/>
      <x:c r="C53" s="134"/>
      <x:c r="D53" s="136"/>
      <x:c r="E53" s="152"/>
      <x:c r="F53" s="167"/>
    </x:row>
    <x:row r="54">
      <x:c r="A54" s="186"/>
      <x:c r="B54" s="152"/>
      <x:c r="C54" s="134"/>
      <x:c r="D54" s="136"/>
      <x:c r="E54" s="152"/>
      <x:c r="F54" s="167"/>
    </x:row>
    <x:row r="55">
      <x:c r="A55" s="186"/>
      <x:c r="B55" s="152"/>
      <x:c r="C55" s="134"/>
      <x:c r="D55" s="136"/>
      <x:c r="E55" s="152"/>
      <x:c r="F55" s="167"/>
    </x:row>
    <x:row r="56">
      <x:c r="A56" s="186"/>
      <x:c r="B56" s="152"/>
      <x:c r="C56" s="134"/>
      <x:c r="D56" s="136"/>
      <x:c r="E56" s="152"/>
      <x:c r="F56" s="167"/>
    </x:row>
    <x:row r="57">
      <x:c r="A57" s="186"/>
      <x:c r="B57" s="152"/>
      <x:c r="C57" s="134"/>
      <x:c r="D57" s="136"/>
      <x:c r="E57" s="152"/>
      <x:c r="F57" s="167"/>
    </x:row>
    <x:row r="58">
      <x:c r="A58" s="186"/>
      <x:c r="B58" s="152"/>
      <x:c r="C58" s="134"/>
      <x:c r="D58" s="136"/>
      <x:c r="E58" s="152"/>
      <x:c r="F58" s="167"/>
    </x:row>
    <x:row r="59">
      <x:c r="A59" s="186"/>
      <x:c r="B59" s="152"/>
      <x:c r="C59" s="134"/>
      <x:c r="D59" s="136"/>
      <x:c r="E59" s="152"/>
      <x:c r="F59" s="167"/>
    </x:row>
    <x:row r="60">
      <x:c r="A60" s="186"/>
      <x:c r="B60" s="152"/>
      <x:c r="C60" s="134"/>
      <x:c r="D60" s="136"/>
      <x:c r="E60" s="152"/>
      <x:c r="F60" s="167"/>
    </x:row>
    <x:row r="61">
      <x:c r="A61" s="186"/>
      <x:c r="B61" s="152"/>
      <x:c r="C61" s="134"/>
      <x:c r="D61" s="136"/>
      <x:c r="E61" s="152"/>
      <x:c r="F61" s="167"/>
    </x:row>
    <x:row r="62">
      <x:c r="A62" s="186"/>
      <x:c r="B62" s="152"/>
      <x:c r="C62" s="134"/>
      <x:c r="D62" s="136"/>
      <x:c r="E62" s="152"/>
      <x:c r="F62" s="167"/>
    </x:row>
    <x:row r="63">
      <x:c r="A63" s="186"/>
      <x:c r="B63" s="152"/>
      <x:c r="C63" s="134"/>
      <x:c r="D63" s="136"/>
      <x:c r="E63" s="152"/>
      <x:c r="F63" s="167"/>
    </x:row>
    <x:row r="64">
      <x:c r="A64" s="186"/>
      <x:c r="B64" s="152"/>
      <x:c r="C64" s="134"/>
      <x:c r="D64" s="136"/>
      <x:c r="E64" s="152"/>
      <x:c r="F64" s="167"/>
    </x:row>
    <x:row r="65">
      <x:c r="A65" s="186"/>
      <x:c r="B65" s="152"/>
      <x:c r="C65" s="134"/>
      <x:c r="D65" s="136"/>
      <x:c r="E65" s="152"/>
      <x:c r="F65" s="167"/>
    </x:row>
    <x:row r="66">
      <x:c r="A66" s="186"/>
      <x:c r="B66" s="152"/>
      <x:c r="C66" s="134"/>
      <x:c r="D66" s="136"/>
      <x:c r="E66" s="152"/>
      <x:c r="F66" s="167"/>
    </x:row>
    <x:row r="67">
      <x:c r="A67" s="186"/>
      <x:c r="B67" s="152"/>
      <x:c r="C67" s="134"/>
      <x:c r="D67" s="136"/>
      <x:c r="E67" s="152"/>
      <x:c r="F67" s="167"/>
    </x:row>
    <x:row r="68">
      <x:c r="A68" s="186"/>
      <x:c r="B68" s="152"/>
      <x:c r="C68" s="134"/>
      <x:c r="D68" s="136"/>
      <x:c r="E68" s="152"/>
      <x:c r="F68" s="167"/>
    </x:row>
    <x:row r="69">
      <x:c r="A69" s="186"/>
      <x:c r="B69" s="152"/>
      <x:c r="C69" s="134"/>
      <x:c r="D69" s="136"/>
      <x:c r="E69" s="152"/>
      <x:c r="F69" s="167"/>
    </x:row>
    <x:row r="70">
      <x:c r="A70" s="186"/>
      <x:c r="B70" s="152"/>
      <x:c r="C70" s="134"/>
      <x:c r="D70" s="136"/>
      <x:c r="E70" s="152"/>
      <x:c r="F70" s="167"/>
    </x:row>
    <x:row r="71">
      <x:c r="A71" s="186"/>
      <x:c r="B71" s="152"/>
      <x:c r="C71" s="134"/>
      <x:c r="D71" s="136"/>
      <x:c r="E71" s="152"/>
      <x:c r="F71" s="167"/>
    </x:row>
    <x:row r="72">
      <x:c r="A72" s="186"/>
      <x:c r="B72" s="152"/>
      <x:c r="C72" s="134"/>
      <x:c r="D72" s="136"/>
      <x:c r="E72" s="152"/>
      <x:c r="F72" s="167"/>
    </x:row>
    <x:row r="73">
      <x:c r="A73" s="186"/>
      <x:c r="B73" s="152"/>
      <x:c r="C73" s="134"/>
      <x:c r="D73" s="136"/>
      <x:c r="E73" s="152"/>
      <x:c r="F73" s="167"/>
    </x:row>
    <x:row r="74">
      <x:c r="A74" s="186"/>
      <x:c r="B74" s="152"/>
      <x:c r="C74" s="134"/>
      <x:c r="D74" s="136"/>
      <x:c r="E74" s="152"/>
      <x:c r="F74" s="167"/>
    </x:row>
    <x:row r="75">
      <x:c r="A75" s="186"/>
      <x:c r="B75" s="152"/>
      <x:c r="C75" s="134"/>
      <x:c r="D75" s="136"/>
      <x:c r="E75" s="152"/>
      <x:c r="F75" s="167"/>
    </x:row>
    <x:row r="76">
      <x:c r="A76" s="186"/>
      <x:c r="B76" s="152"/>
      <x:c r="C76" s="134"/>
      <x:c r="D76" s="136"/>
      <x:c r="E76" s="152"/>
      <x:c r="F76" s="167"/>
    </x:row>
    <x:row r="77">
      <x:c r="A77" s="186"/>
      <x:c r="B77" s="152"/>
      <x:c r="C77" s="134"/>
      <x:c r="D77" s="136"/>
      <x:c r="E77" s="152"/>
      <x:c r="F77" s="167"/>
    </x:row>
    <x:row r="78">
      <x:c r="A78" s="186"/>
      <x:c r="B78" s="152"/>
      <x:c r="C78" s="134"/>
      <x:c r="D78" s="136"/>
      <x:c r="E78" s="152"/>
      <x:c r="F78" s="167"/>
    </x:row>
    <x:row r="79">
      <x:c r="A79" s="186"/>
      <x:c r="B79" s="152"/>
      <x:c r="C79" s="134"/>
      <x:c r="D79" s="136"/>
      <x:c r="E79" s="152"/>
      <x:c r="F79" s="167"/>
    </x:row>
    <x:row r="80">
      <x:c r="A80" s="186"/>
      <x:c r="B80" s="152"/>
      <x:c r="C80" s="134"/>
      <x:c r="D80" s="136"/>
      <x:c r="E80" s="152"/>
      <x:c r="F80" s="167"/>
    </x:row>
    <x:row r="81">
      <x:c r="A81" s="186"/>
      <x:c r="B81" s="152"/>
      <x:c r="C81" s="134"/>
      <x:c r="D81" s="136"/>
      <x:c r="E81" s="152"/>
      <x:c r="F81" s="167"/>
    </x:row>
    <x:row r="82">
      <x:c r="A82" s="186"/>
      <x:c r="B82" s="152"/>
      <x:c r="C82" s="134"/>
      <x:c r="D82" s="136"/>
      <x:c r="E82" s="152"/>
      <x:c r="F82" s="167"/>
    </x:row>
    <x:row r="83">
      <x:c r="A83" s="186"/>
      <x:c r="B83" s="152"/>
      <x:c r="C83" s="134"/>
      <x:c r="D83" s="136"/>
      <x:c r="E83" s="152"/>
      <x:c r="F83" s="167"/>
    </x:row>
    <x:row r="84">
      <x:c r="A84" s="186"/>
      <x:c r="B84" s="152"/>
      <x:c r="C84" s="134"/>
      <x:c r="D84" s="136"/>
      <x:c r="E84" s="152"/>
      <x:c r="F84" s="167"/>
    </x:row>
    <x:row r="85">
      <x:c r="A85" s="186"/>
      <x:c r="B85" s="152"/>
      <x:c r="C85" s="134"/>
      <x:c r="D85" s="136"/>
      <x:c r="E85" s="152"/>
      <x:c r="F85" s="167"/>
    </x:row>
    <x:row r="86">
      <x:c r="A86" s="186"/>
      <x:c r="B86" s="152"/>
      <x:c r="C86" s="134"/>
      <x:c r="D86" s="136"/>
      <x:c r="E86" s="152"/>
      <x:c r="F86" s="167"/>
    </x:row>
    <x:row r="87">
      <x:c r="A87" s="186"/>
      <x:c r="B87" s="152"/>
      <x:c r="C87" s="134"/>
      <x:c r="D87" s="136"/>
      <x:c r="E87" s="152"/>
      <x:c r="F87" s="167"/>
    </x:row>
    <x:row r="88">
      <x:c r="A88" s="186"/>
      <x:c r="B88" s="152"/>
      <x:c r="C88" s="134"/>
      <x:c r="D88" s="136"/>
      <x:c r="E88" s="152"/>
      <x:c r="F88" s="167"/>
    </x:row>
    <x:row r="89">
      <x:c r="A89" s="186"/>
      <x:c r="B89" s="152"/>
      <x:c r="C89" s="134"/>
      <x:c r="D89" s="136"/>
      <x:c r="E89" s="152"/>
      <x:c r="F89" s="167"/>
    </x:row>
    <x:row r="90">
      <x:c r="A90" s="186"/>
      <x:c r="B90" s="152"/>
      <x:c r="C90" s="134"/>
      <x:c r="D90" s="136"/>
      <x:c r="E90" s="152"/>
      <x:c r="F90" s="167"/>
    </x:row>
    <x:row r="91">
      <x:c r="A91" s="186"/>
      <x:c r="B91" s="152"/>
      <x:c r="C91" s="134"/>
      <x:c r="D91" s="136"/>
      <x:c r="E91" s="152"/>
      <x:c r="F91" s="167"/>
    </x:row>
    <x:row r="92">
      <x:c r="A92" s="186"/>
      <x:c r="B92" s="152"/>
      <x:c r="C92" s="134"/>
      <x:c r="D92" s="136"/>
      <x:c r="E92" s="152"/>
      <x:c r="F92" s="167"/>
    </x:row>
    <x:row r="93">
      <x:c r="A93" s="186"/>
      <x:c r="B93" s="152"/>
      <x:c r="C93" s="134"/>
      <x:c r="D93" s="136"/>
      <x:c r="E93" s="152"/>
      <x:c r="F93" s="167"/>
    </x:row>
    <x:row r="94">
      <x:c r="A94" s="186"/>
      <x:c r="B94" s="152"/>
      <x:c r="C94" s="134"/>
      <x:c r="D94" s="136"/>
      <x:c r="E94" s="152"/>
      <x:c r="F94" s="167"/>
    </x:row>
    <x:row r="95">
      <x:c r="A95" s="186"/>
      <x:c r="B95" s="152"/>
      <x:c r="C95" s="134"/>
      <x:c r="D95" s="136"/>
      <x:c r="E95" s="152"/>
      <x:c r="F95" s="167"/>
    </x:row>
    <x:row r="96">
      <x:c r="A96" s="186"/>
      <x:c r="B96" s="152"/>
      <x:c r="C96" s="134"/>
      <x:c r="D96" s="136"/>
      <x:c r="E96" s="152"/>
      <x:c r="F96" s="167"/>
    </x:row>
    <x:row r="97">
      <x:c r="A97" s="186"/>
      <x:c r="B97" s="152"/>
      <x:c r="C97" s="134"/>
      <x:c r="D97" s="136"/>
      <x:c r="E97" s="152"/>
      <x:c r="F97" s="167"/>
    </x:row>
    <x:row r="98">
      <x:c r="A98" s="186"/>
      <x:c r="B98" s="152"/>
      <x:c r="C98" s="134"/>
      <x:c r="D98" s="136"/>
      <x:c r="E98" s="152"/>
      <x:c r="F98" s="167"/>
    </x:row>
    <x:row r="99">
      <x:c r="A99" s="186"/>
      <x:c r="B99" s="152"/>
      <x:c r="C99" s="134"/>
      <x:c r="D99" s="136"/>
      <x:c r="E99" s="152"/>
      <x:c r="F99" s="167"/>
    </x:row>
    <x:row r="100">
      <x:c r="A100" s="186"/>
      <x:c r="B100" s="152"/>
      <x:c r="C100" s="134"/>
      <x:c r="D100" s="136"/>
      <x:c r="E100" s="152"/>
      <x:c r="F100" s="167"/>
    </x:row>
    <x:row r="101">
      <x:c r="A101" s="186"/>
      <x:c r="B101" s="152"/>
      <x:c r="C101" s="134"/>
      <x:c r="D101" s="136"/>
      <x:c r="E101" s="152"/>
      <x:c r="F101" s="167"/>
    </x:row>
    <x:row r="102">
      <x:c r="A102" s="186"/>
      <x:c r="B102" s="152"/>
      <x:c r="C102" s="134"/>
      <x:c r="D102" s="136"/>
      <x:c r="E102" s="152"/>
      <x:c r="F102" s="167"/>
    </x:row>
    <x:row r="103">
      <x:c r="A103" s="186"/>
      <x:c r="B103" s="152"/>
      <x:c r="C103" s="134"/>
      <x:c r="D103" s="136"/>
      <x:c r="E103" s="152"/>
      <x:c r="F103" s="167"/>
    </x:row>
    <x:row r="104">
      <x:c r="A104" s="186"/>
      <x:c r="B104" s="152"/>
      <x:c r="C104" s="134"/>
      <x:c r="D104" s="136"/>
      <x:c r="E104" s="152"/>
      <x:c r="F104" s="167"/>
    </x:row>
    <x:row r="105">
      <x:c r="A105" s="186"/>
      <x:c r="B105" s="152"/>
      <x:c r="C105" s="134"/>
      <x:c r="D105" s="136"/>
      <x:c r="E105" s="152"/>
      <x:c r="F105" s="167"/>
    </x:row>
    <x:row r="106">
      <x:c r="A106" s="186"/>
      <x:c r="B106" s="152"/>
      <x:c r="C106" s="134"/>
      <x:c r="D106" s="136"/>
      <x:c r="E106" s="152"/>
      <x:c r="F106" s="167"/>
    </x:row>
    <x:row r="107">
      <x:c r="A107" s="186"/>
      <x:c r="B107" s="152"/>
      <x:c r="C107" s="134"/>
      <x:c r="D107" s="136"/>
      <x:c r="E107" s="152"/>
      <x:c r="F107" s="167"/>
    </x:row>
    <x:row r="108">
      <x:c r="A108" s="186"/>
      <x:c r="B108" s="152"/>
      <x:c r="C108" s="134"/>
      <x:c r="D108" s="136"/>
      <x:c r="E108" s="152"/>
      <x:c r="F108" s="167"/>
    </x:row>
    <x:row r="109">
      <x:c r="A109" s="186"/>
      <x:c r="B109" s="152"/>
      <x:c r="C109" s="134"/>
      <x:c r="D109" s="136"/>
      <x:c r="E109" s="152"/>
      <x:c r="F109" s="167"/>
    </x:row>
    <x:row r="110">
      <x:c r="A110" s="186"/>
      <x:c r="B110" s="152"/>
      <x:c r="C110" s="134"/>
      <x:c r="D110" s="136"/>
      <x:c r="E110" s="152"/>
      <x:c r="F110" s="167"/>
    </x:row>
    <x:row r="111">
      <x:c r="A111" s="186"/>
      <x:c r="B111" s="152"/>
      <x:c r="C111" s="134"/>
      <x:c r="D111" s="136"/>
      <x:c r="E111" s="152"/>
      <x:c r="F111" s="167"/>
    </x:row>
    <x:row r="112">
      <x:c r="A112" s="186"/>
      <x:c r="B112" s="152"/>
      <x:c r="C112" s="134"/>
      <x:c r="D112" s="136"/>
      <x:c r="E112" s="152"/>
      <x:c r="F112" s="167"/>
    </x:row>
    <x:row r="113">
      <x:c r="A113" s="186"/>
      <x:c r="B113" s="152"/>
      <x:c r="C113" s="134"/>
      <x:c r="D113" s="136"/>
      <x:c r="E113" s="152"/>
      <x:c r="F113" s="167"/>
    </x:row>
    <x:row r="114">
      <x:c r="A114" s="186"/>
      <x:c r="B114" s="152"/>
      <x:c r="C114" s="134"/>
      <x:c r="D114" s="136"/>
      <x:c r="E114" s="152"/>
      <x:c r="F114" s="167"/>
    </x:row>
    <x:row r="115">
      <x:c r="A115" s="186"/>
      <x:c r="B115" s="152"/>
      <x:c r="C115" s="134"/>
      <x:c r="D115" s="136"/>
      <x:c r="E115" s="152"/>
      <x:c r="F115" s="167"/>
    </x:row>
    <x:row r="116">
      <x:c r="A116" s="186"/>
      <x:c r="B116" s="152"/>
      <x:c r="C116" s="134"/>
      <x:c r="D116" s="136"/>
      <x:c r="E116" s="152"/>
      <x:c r="F116" s="167"/>
    </x:row>
    <x:row r="117">
      <x:c r="A117" s="186"/>
      <x:c r="B117" s="152"/>
      <x:c r="C117" s="134"/>
      <x:c r="D117" s="136"/>
      <x:c r="E117" s="152"/>
      <x:c r="F117" s="167"/>
    </x:row>
    <x:row r="118">
      <x:c r="A118" s="186"/>
      <x:c r="B118" s="152"/>
      <x:c r="C118" s="134"/>
      <x:c r="D118" s="136"/>
      <x:c r="E118" s="152"/>
      <x:c r="F118" s="167"/>
    </x:row>
    <x:row r="119">
      <x:c r="A119" s="186"/>
      <x:c r="B119" s="152"/>
      <x:c r="C119" s="134"/>
      <x:c r="D119" s="136"/>
      <x:c r="E119" s="152"/>
      <x:c r="F119" s="167"/>
    </x:row>
    <x:row r="120">
      <x:c r="A120" s="186"/>
      <x:c r="B120" s="152"/>
      <x:c r="C120" s="134"/>
      <x:c r="D120" s="136"/>
      <x:c r="E120" s="152"/>
      <x:c r="F120" s="167"/>
    </x:row>
    <x:row r="121">
      <x:c r="A121" s="186"/>
      <x:c r="B121" s="152"/>
      <x:c r="C121" s="134"/>
      <x:c r="D121" s="136"/>
      <x:c r="E121" s="152"/>
      <x:c r="F121" s="167"/>
    </x:row>
    <x:row r="122">
      <x:c r="A122" s="186"/>
      <x:c r="B122" s="152"/>
      <x:c r="C122" s="134"/>
      <x:c r="D122" s="136"/>
      <x:c r="E122" s="152"/>
      <x:c r="F122" s="167"/>
    </x:row>
    <x:row r="123">
      <x:c r="A123" s="186"/>
      <x:c r="B123" s="152"/>
      <x:c r="C123" s="134"/>
      <x:c r="D123" s="136"/>
      <x:c r="E123" s="152"/>
      <x:c r="F123" s="167"/>
    </x:row>
    <x:row r="124">
      <x:c r="A124" s="186"/>
      <x:c r="B124" s="152"/>
      <x:c r="C124" s="134"/>
      <x:c r="D124" s="136"/>
      <x:c r="E124" s="152"/>
      <x:c r="F124" s="167"/>
    </x:row>
    <x:row r="125">
      <x:c r="A125" s="186"/>
      <x:c r="B125" s="152"/>
      <x:c r="C125" s="134"/>
      <x:c r="D125" s="136"/>
      <x:c r="E125" s="152"/>
      <x:c r="F125" s="167"/>
    </x:row>
    <x:row r="126">
      <x:c r="A126" s="186"/>
      <x:c r="B126" s="152"/>
      <x:c r="C126" s="134"/>
      <x:c r="D126" s="136"/>
      <x:c r="E126" s="152"/>
      <x:c r="F126" s="167"/>
    </x:row>
    <x:row r="127">
      <x:c r="A127" s="186"/>
      <x:c r="B127" s="152"/>
      <x:c r="C127" s="134"/>
      <x:c r="D127" s="136"/>
      <x:c r="E127" s="152"/>
      <x:c r="F127" s="167"/>
    </x:row>
    <x:row r="128">
      <x:c r="A128" s="186"/>
      <x:c r="B128" s="152"/>
      <x:c r="C128" s="134"/>
      <x:c r="D128" s="136"/>
      <x:c r="E128" s="152"/>
      <x:c r="F128" s="167"/>
    </x:row>
    <x:row r="129">
      <x:c r="A129" s="186"/>
      <x:c r="B129" s="152"/>
      <x:c r="C129" s="134"/>
      <x:c r="D129" s="136"/>
      <x:c r="E129" s="152"/>
      <x:c r="F129" s="167"/>
    </x:row>
    <x:row r="130">
      <x:c r="A130" s="186"/>
      <x:c r="B130" s="152"/>
      <x:c r="C130" s="134"/>
      <x:c r="D130" s="136"/>
      <x:c r="E130" s="152"/>
      <x:c r="F130" s="167"/>
    </x:row>
    <x:row r="131">
      <x:c r="A131" s="186"/>
      <x:c r="B131" s="152"/>
      <x:c r="C131" s="134"/>
      <x:c r="D131" s="136"/>
      <x:c r="E131" s="152"/>
      <x:c r="F131" s="167"/>
    </x:row>
    <x:row r="132">
      <x:c r="A132" s="186"/>
      <x:c r="B132" s="152"/>
      <x:c r="C132" s="134"/>
      <x:c r="D132" s="136"/>
      <x:c r="E132" s="152"/>
      <x:c r="F132" s="167"/>
    </x:row>
    <x:row r="133">
      <x:c r="A133" s="186"/>
      <x:c r="B133" s="152"/>
      <x:c r="C133" s="134"/>
      <x:c r="D133" s="136"/>
      <x:c r="E133" s="152"/>
      <x:c r="F133" s="167"/>
    </x:row>
    <x:row r="134">
      <x:c r="A134" s="186"/>
      <x:c r="B134" s="152"/>
      <x:c r="C134" s="134"/>
      <x:c r="D134" s="136"/>
      <x:c r="E134" s="152"/>
      <x:c r="F134" s="167"/>
    </x:row>
    <x:row r="135">
      <x:c r="A135" s="186"/>
      <x:c r="B135" s="152"/>
      <x:c r="C135" s="134"/>
      <x:c r="D135" s="136"/>
      <x:c r="E135" s="152"/>
      <x:c r="F135" s="167"/>
    </x:row>
    <x:row r="136">
      <x:c r="A136" s="186"/>
      <x:c r="B136" s="152"/>
      <x:c r="C136" s="134"/>
      <x:c r="D136" s="136"/>
      <x:c r="E136" s="152"/>
      <x:c r="F136" s="167"/>
    </x:row>
    <x:row r="137">
      <x:c r="A137" s="186"/>
      <x:c r="B137" s="152"/>
      <x:c r="C137" s="134"/>
      <x:c r="D137" s="136"/>
      <x:c r="E137" s="152"/>
      <x:c r="F137" s="167"/>
    </x:row>
    <x:row r="138">
      <x:c r="A138" s="186"/>
      <x:c r="B138" s="152"/>
      <x:c r="C138" s="134"/>
      <x:c r="D138" s="136"/>
      <x:c r="E138" s="152"/>
      <x:c r="F138" s="167"/>
    </x:row>
    <x:row r="139">
      <x:c r="A139" s="186"/>
      <x:c r="B139" s="152"/>
      <x:c r="C139" s="134"/>
      <x:c r="D139" s="136"/>
      <x:c r="E139" s="152"/>
      <x:c r="F139" s="167"/>
    </x:row>
    <x:row r="140">
      <x:c r="A140" s="186"/>
      <x:c r="B140" s="152"/>
      <x:c r="C140" s="134"/>
      <x:c r="D140" s="136"/>
      <x:c r="E140" s="152"/>
      <x:c r="F140" s="167"/>
    </x:row>
    <x:row r="141">
      <x:c r="A141" s="186"/>
      <x:c r="B141" s="152"/>
      <x:c r="C141" s="134"/>
      <x:c r="D141" s="136"/>
      <x:c r="E141" s="152"/>
      <x:c r="F141" s="167"/>
    </x:row>
    <x:row r="142">
      <x:c r="A142" s="186"/>
      <x:c r="B142" s="152"/>
      <x:c r="C142" s="134"/>
      <x:c r="D142" s="136"/>
      <x:c r="E142" s="152"/>
      <x:c r="F142" s="167"/>
    </x:row>
    <x:row r="143">
      <x:c r="A143" s="186"/>
      <x:c r="B143" s="152"/>
      <x:c r="C143" s="134"/>
      <x:c r="D143" s="136"/>
      <x:c r="E143" s="152"/>
      <x:c r="F143" s="167"/>
    </x:row>
    <x:row r="144">
      <x:c r="A144" s="186"/>
      <x:c r="B144" s="152"/>
      <x:c r="C144" s="134"/>
      <x:c r="D144" s="136"/>
      <x:c r="E144" s="152"/>
      <x:c r="F144" s="167"/>
    </x:row>
    <x:row r="145">
      <x:c r="A145" s="186"/>
      <x:c r="B145" s="152"/>
      <x:c r="C145" s="134"/>
      <x:c r="D145" s="136"/>
      <x:c r="E145" s="152"/>
      <x:c r="F145" s="167"/>
    </x:row>
    <x:row r="146">
      <x:c r="A146" s="186"/>
      <x:c r="B146" s="152"/>
      <x:c r="C146" s="134"/>
      <x:c r="D146" s="136"/>
      <x:c r="E146" s="152"/>
      <x:c r="F146" s="167"/>
    </x:row>
    <x:row r="147">
      <x:c r="A147" s="186"/>
      <x:c r="B147" s="152"/>
      <x:c r="C147" s="134"/>
      <x:c r="D147" s="136"/>
      <x:c r="E147" s="152"/>
      <x:c r="F147" s="167"/>
    </x:row>
    <x:row r="148">
      <x:c r="A148" s="186"/>
      <x:c r="B148" s="152"/>
      <x:c r="C148" s="134"/>
      <x:c r="D148" s="136"/>
      <x:c r="E148" s="152"/>
      <x:c r="F148" s="167"/>
    </x:row>
    <x:row r="149">
      <x:c r="A149" s="186"/>
      <x:c r="B149" s="152"/>
      <x:c r="C149" s="134"/>
      <x:c r="D149" s="136"/>
      <x:c r="E149" s="152"/>
      <x:c r="F149" s="167"/>
    </x:row>
    <x:row r="150">
      <x:c r="A150" s="186"/>
      <x:c r="B150" s="152"/>
      <x:c r="C150" s="134"/>
      <x:c r="D150" s="136"/>
      <x:c r="E150" s="152"/>
      <x:c r="F150" s="167"/>
    </x:row>
    <x:row r="151">
      <x:c r="A151" s="186"/>
      <x:c r="B151" s="152"/>
      <x:c r="C151" s="134"/>
      <x:c r="D151" s="136"/>
      <x:c r="E151" s="152"/>
      <x:c r="F151" s="167"/>
    </x:row>
    <x:row r="152">
      <x:c r="A152" s="186"/>
      <x:c r="B152" s="152"/>
      <x:c r="C152" s="134"/>
      <x:c r="D152" s="136"/>
      <x:c r="E152" s="152"/>
      <x:c r="F152" s="167"/>
    </x:row>
    <x:row r="153">
      <x:c r="A153" s="186"/>
      <x:c r="B153" s="152"/>
      <x:c r="C153" s="134"/>
      <x:c r="D153" s="136"/>
      <x:c r="E153" s="152"/>
      <x:c r="F153" s="167"/>
    </x:row>
    <x:row r="154">
      <x:c r="A154" s="186"/>
      <x:c r="B154" s="152"/>
      <x:c r="C154" s="134"/>
      <x:c r="D154" s="136"/>
      <x:c r="E154" s="152"/>
      <x:c r="F154" s="167"/>
    </x:row>
    <x:row r="155">
      <x:c r="A155" s="186"/>
      <x:c r="B155" s="152"/>
      <x:c r="C155" s="134"/>
      <x:c r="D155" s="136"/>
      <x:c r="E155" s="152"/>
      <x:c r="F155" s="167"/>
    </x:row>
    <x:row r="156">
      <x:c r="A156" s="186"/>
      <x:c r="B156" s="152"/>
      <x:c r="C156" s="134"/>
      <x:c r="D156" s="136"/>
      <x:c r="E156" s="152"/>
      <x:c r="F156" s="167"/>
    </x:row>
    <x:row r="157">
      <x:c r="A157" s="186"/>
      <x:c r="B157" s="152"/>
      <x:c r="C157" s="134"/>
      <x:c r="D157" s="136"/>
      <x:c r="E157" s="152"/>
      <x:c r="F157" s="167"/>
    </x:row>
    <x:row r="158">
      <x:c r="A158" s="186"/>
      <x:c r="B158" s="152"/>
      <x:c r="C158" s="134"/>
      <x:c r="D158" s="136"/>
      <x:c r="E158" s="152"/>
      <x:c r="F158" s="167"/>
    </x:row>
    <x:row r="159">
      <x:c r="A159" s="186"/>
      <x:c r="B159" s="152"/>
      <x:c r="C159" s="134"/>
      <x:c r="D159" s="136"/>
      <x:c r="E159" s="152"/>
      <x:c r="F159" s="167"/>
    </x:row>
    <x:row r="160">
      <x:c r="A160" s="186"/>
      <x:c r="B160" s="152"/>
      <x:c r="C160" s="134"/>
      <x:c r="D160" s="136"/>
      <x:c r="E160" s="152"/>
      <x:c r="F160" s="167"/>
    </x:row>
    <x:row r="161">
      <x:c r="A161" s="186"/>
      <x:c r="B161" s="152"/>
      <x:c r="C161" s="134"/>
      <x:c r="D161" s="136"/>
      <x:c r="E161" s="152"/>
      <x:c r="F161" s="167"/>
    </x:row>
    <x:row r="162">
      <x:c r="A162" s="186"/>
      <x:c r="B162" s="152"/>
      <x:c r="C162" s="134"/>
      <x:c r="D162" s="136"/>
      <x:c r="E162" s="152"/>
      <x:c r="F162" s="167"/>
    </x:row>
    <x:row r="163">
      <x:c r="A163" s="186"/>
      <x:c r="B163" s="152"/>
      <x:c r="C163" s="134"/>
      <x:c r="D163" s="136"/>
      <x:c r="E163" s="152"/>
      <x:c r="F163" s="167"/>
    </x:row>
    <x:row r="164">
      <x:c r="A164" s="186"/>
      <x:c r="B164" s="152"/>
      <x:c r="C164" s="134"/>
      <x:c r="D164" s="136"/>
      <x:c r="E164" s="152"/>
      <x:c r="F164" s="167"/>
    </x:row>
    <x:row r="165">
      <x:c r="A165" s="186"/>
      <x:c r="B165" s="152"/>
      <x:c r="C165" s="134"/>
      <x:c r="D165" s="136"/>
      <x:c r="E165" s="152"/>
      <x:c r="F165" s="167"/>
    </x:row>
    <x:row r="166">
      <x:c r="A166" s="186"/>
      <x:c r="B166" s="152"/>
      <x:c r="C166" s="134"/>
      <x:c r="D166" s="136"/>
      <x:c r="E166" s="152"/>
      <x:c r="F166" s="167"/>
    </x:row>
    <x:row r="167">
      <x:c r="A167" s="186"/>
      <x:c r="B167" s="152"/>
      <x:c r="C167" s="134"/>
      <x:c r="D167" s="136"/>
      <x:c r="E167" s="152"/>
      <x:c r="F167" s="167"/>
    </x:row>
    <x:row r="168">
      <x:c r="A168" s="186"/>
      <x:c r="B168" s="152"/>
      <x:c r="C168" s="134"/>
      <x:c r="D168" s="136"/>
      <x:c r="E168" s="152"/>
      <x:c r="F168" s="167"/>
    </x:row>
    <x:row r="169">
      <x:c r="A169" s="186"/>
      <x:c r="B169" s="152"/>
      <x:c r="C169" s="134"/>
      <x:c r="D169" s="136"/>
      <x:c r="E169" s="152"/>
      <x:c r="F169" s="167"/>
    </x:row>
    <x:row r="170">
      <x:c r="A170" s="186"/>
      <x:c r="B170" s="152"/>
      <x:c r="C170" s="134"/>
      <x:c r="D170" s="136"/>
      <x:c r="E170" s="152"/>
      <x:c r="F170" s="167"/>
    </x:row>
    <x:row r="171">
      <x:c r="A171" s="186"/>
      <x:c r="B171" s="152"/>
      <x:c r="C171" s="134"/>
      <x:c r="D171" s="136"/>
      <x:c r="E171" s="152"/>
      <x:c r="F171" s="167"/>
    </x:row>
    <x:row r="172">
      <x:c r="A172" s="186"/>
      <x:c r="B172" s="152"/>
      <x:c r="C172" s="134"/>
      <x:c r="D172" s="136"/>
      <x:c r="E172" s="152"/>
      <x:c r="F172" s="167"/>
    </x:row>
    <x:row r="173">
      <x:c r="A173" s="186"/>
      <x:c r="B173" s="152"/>
      <x:c r="C173" s="134"/>
      <x:c r="D173" s="136"/>
      <x:c r="E173" s="152"/>
      <x:c r="F173" s="167"/>
    </x:row>
    <x:row r="174">
      <x:c r="A174" s="186"/>
      <x:c r="B174" s="152"/>
      <x:c r="C174" s="134"/>
      <x:c r="D174" s="136"/>
      <x:c r="E174" s="152"/>
      <x:c r="F174" s="167"/>
    </x:row>
    <x:row r="175">
      <x:c r="A175" s="186"/>
      <x:c r="B175" s="152"/>
      <x:c r="C175" s="134"/>
      <x:c r="D175" s="136"/>
      <x:c r="E175" s="152"/>
      <x:c r="F175" s="167"/>
    </x:row>
    <x:row r="176">
      <x:c r="A176" s="186"/>
      <x:c r="B176" s="152"/>
      <x:c r="C176" s="134"/>
      <x:c r="D176" s="136"/>
      <x:c r="E176" s="152"/>
      <x:c r="F176" s="167"/>
    </x:row>
    <x:row r="177">
      <x:c r="A177" s="186"/>
      <x:c r="B177" s="152"/>
      <x:c r="C177" s="134"/>
      <x:c r="D177" s="136"/>
      <x:c r="E177" s="152"/>
      <x:c r="F177" s="167"/>
    </x:row>
    <x:row r="178">
      <x:c r="A178" s="186"/>
      <x:c r="B178" s="152"/>
      <x:c r="C178" s="134"/>
      <x:c r="D178" s="136"/>
      <x:c r="E178" s="152"/>
      <x:c r="F178" s="167"/>
    </x:row>
    <x:row r="179">
      <x:c r="A179" s="186"/>
      <x:c r="B179" s="152"/>
      <x:c r="C179" s="134"/>
      <x:c r="D179" s="136"/>
      <x:c r="E179" s="152"/>
      <x:c r="F179" s="167"/>
    </x:row>
    <x:row r="180">
      <x:c r="A180" s="186"/>
      <x:c r="B180" s="152"/>
      <x:c r="C180" s="134"/>
      <x:c r="D180" s="136"/>
      <x:c r="E180" s="152"/>
      <x:c r="F180" s="167"/>
    </x:row>
    <x:row r="181">
      <x:c r="A181" s="186"/>
      <x:c r="B181" s="152"/>
      <x:c r="C181" s="134"/>
      <x:c r="D181" s="136"/>
      <x:c r="E181" s="152"/>
      <x:c r="F181" s="167"/>
    </x:row>
    <x:row r="182">
      <x:c r="A182" s="186"/>
      <x:c r="B182" s="152"/>
      <x:c r="C182" s="134"/>
      <x:c r="D182" s="136"/>
      <x:c r="E182" s="152"/>
      <x:c r="F182" s="167"/>
    </x:row>
    <x:row r="183">
      <x:c r="A183" s="186"/>
      <x:c r="B183" s="152"/>
      <x:c r="C183" s="134"/>
      <x:c r="D183" s="136"/>
      <x:c r="E183" s="152"/>
      <x:c r="F183" s="167"/>
    </x:row>
    <x:row r="184">
      <x:c r="A184" s="186"/>
      <x:c r="B184" s="152"/>
      <x:c r="C184" s="134"/>
      <x:c r="D184" s="136"/>
      <x:c r="E184" s="152"/>
      <x:c r="F184" s="167"/>
    </x:row>
    <x:row r="185">
      <x:c r="A185" s="186"/>
      <x:c r="B185" s="152"/>
      <x:c r="C185" s="134"/>
      <x:c r="D185" s="136"/>
      <x:c r="E185" s="152"/>
      <x:c r="F185" s="167"/>
    </x:row>
    <x:row r="186">
      <x:c r="A186" s="186"/>
      <x:c r="B186" s="152"/>
      <x:c r="C186" s="134"/>
      <x:c r="D186" s="136"/>
      <x:c r="E186" s="152"/>
      <x:c r="F186" s="167"/>
    </x:row>
    <x:row r="187">
      <x:c r="A187" s="186"/>
      <x:c r="B187" s="152"/>
      <x:c r="C187" s="134"/>
      <x:c r="D187" s="136"/>
      <x:c r="E187" s="152"/>
      <x:c r="F187" s="167"/>
    </x:row>
    <x:row r="188">
      <x:c r="A188" s="186"/>
      <x:c r="B188" s="152"/>
      <x:c r="C188" s="134"/>
      <x:c r="D188" s="136"/>
      <x:c r="E188" s="152"/>
      <x:c r="F188" s="167"/>
    </x:row>
    <x:row r="189">
      <x:c r="A189" s="186"/>
      <x:c r="B189" s="152"/>
      <x:c r="C189" s="134"/>
      <x:c r="D189" s="136"/>
      <x:c r="E189" s="152"/>
      <x:c r="F189" s="167"/>
    </x:row>
    <x:row r="190">
      <x:c r="A190" s="186"/>
      <x:c r="B190" s="152"/>
      <x:c r="C190" s="134"/>
      <x:c r="D190" s="136"/>
      <x:c r="E190" s="152"/>
      <x:c r="F190" s="167"/>
    </x:row>
    <x:row r="191">
      <x:c r="A191" s="186"/>
      <x:c r="B191" s="152"/>
      <x:c r="C191" s="134"/>
      <x:c r="D191" s="136"/>
      <x:c r="E191" s="152"/>
      <x:c r="F191" s="167"/>
    </x:row>
    <x:row r="192">
      <x:c r="A192" s="186"/>
      <x:c r="B192" s="152"/>
      <x:c r="C192" s="134"/>
      <x:c r="D192" s="136"/>
      <x:c r="E192" s="152"/>
      <x:c r="F192" s="167"/>
    </x:row>
    <x:row r="193">
      <x:c r="A193" s="186"/>
      <x:c r="B193" s="152"/>
      <x:c r="C193" s="134"/>
      <x:c r="D193" s="136"/>
      <x:c r="E193" s="152"/>
      <x:c r="F193" s="167"/>
    </x:row>
    <x:row r="194">
      <x:c r="A194" s="186"/>
      <x:c r="B194" s="152"/>
      <x:c r="C194" s="134"/>
      <x:c r="D194" s="136"/>
      <x:c r="E194" s="152"/>
      <x:c r="F194" s="167"/>
    </x:row>
    <x:row r="195">
      <x:c r="A195" s="186"/>
      <x:c r="B195" s="152"/>
      <x:c r="C195" s="134"/>
      <x:c r="D195" s="136"/>
      <x:c r="E195" s="152"/>
      <x:c r="F195" s="167"/>
    </x:row>
    <x:row r="196">
      <x:c r="A196" s="186"/>
      <x:c r="B196" s="152"/>
      <x:c r="C196" s="134"/>
      <x:c r="D196" s="136"/>
      <x:c r="E196" s="152"/>
      <x:c r="F196" s="167"/>
    </x:row>
    <x:row r="197">
      <x:c r="A197" s="186"/>
      <x:c r="B197" s="152"/>
      <x:c r="C197" s="134"/>
      <x:c r="D197" s="136"/>
      <x:c r="E197" s="152"/>
      <x:c r="F197" s="167"/>
    </x:row>
    <x:row r="198">
      <x:c r="A198" s="186"/>
      <x:c r="B198" s="152"/>
      <x:c r="C198" s="134"/>
      <x:c r="D198" s="136"/>
      <x:c r="E198" s="152"/>
      <x:c r="F198" s="167"/>
    </x:row>
    <x:row r="199">
      <x:c r="A199" s="186"/>
      <x:c r="B199" s="152"/>
      <x:c r="C199" s="134"/>
      <x:c r="D199" s="136"/>
      <x:c r="E199" s="152"/>
      <x:c r="F199" s="167"/>
    </x:row>
    <x:row r="200">
      <x:c r="A200" s="186"/>
      <x:c r="B200" s="152"/>
      <x:c r="C200" s="134"/>
      <x:c r="D200" s="136"/>
      <x:c r="E200" s="152"/>
      <x:c r="F200" s="167"/>
    </x:row>
    <x:row r="201">
      <x:c r="A201" s="186"/>
      <x:c r="B201" s="152"/>
      <x:c r="C201" s="134"/>
      <x:c r="D201" s="136"/>
      <x:c r="E201" s="152"/>
      <x:c r="F201" s="167"/>
    </x:row>
    <x:row r="202">
      <x:c r="A202" s="186"/>
      <x:c r="B202" s="152"/>
      <x:c r="C202" s="134"/>
      <x:c r="D202" s="136"/>
      <x:c r="E202" s="152"/>
      <x:c r="F202" s="167"/>
    </x:row>
    <x:row r="203">
      <x:c r="A203" s="186"/>
      <x:c r="B203" s="152"/>
      <x:c r="C203" s="134"/>
      <x:c r="D203" s="136"/>
      <x:c r="E203" s="152"/>
      <x:c r="F203" s="167"/>
    </x:row>
    <x:row r="204">
      <x:c r="A204" s="186"/>
      <x:c r="B204" s="152"/>
      <x:c r="C204" s="134"/>
      <x:c r="D204" s="136"/>
      <x:c r="E204" s="152"/>
      <x:c r="F204" s="167"/>
    </x:row>
    <x:row r="205">
      <x:c r="A205" s="186"/>
      <x:c r="B205" s="152"/>
      <x:c r="C205" s="134"/>
      <x:c r="D205" s="136"/>
      <x:c r="E205" s="152"/>
      <x:c r="F205" s="167"/>
    </x:row>
    <x:row r="206">
      <x:c r="A206" s="186"/>
      <x:c r="B206" s="152"/>
      <x:c r="C206" s="134"/>
      <x:c r="D206" s="136"/>
      <x:c r="E206" s="152"/>
      <x:c r="F206" s="167"/>
    </x:row>
    <x:row r="207">
      <x:c r="A207" s="186"/>
      <x:c r="B207" s="152"/>
      <x:c r="C207" s="134"/>
      <x:c r="D207" s="136"/>
      <x:c r="E207" s="152"/>
      <x:c r="F207" s="167"/>
    </x:row>
    <x:row r="208">
      <x:c r="A208" s="186"/>
      <x:c r="B208" s="152"/>
      <x:c r="C208" s="134"/>
      <x:c r="D208" s="136"/>
      <x:c r="E208" s="152"/>
      <x:c r="F208" s="167"/>
    </x:row>
    <x:row r="209">
      <x:c r="A209" s="186"/>
      <x:c r="B209" s="152"/>
      <x:c r="C209" s="134"/>
      <x:c r="D209" s="136"/>
      <x:c r="E209" s="152"/>
      <x:c r="F209" s="167"/>
    </x:row>
    <x:row r="210">
      <x:c r="A210" s="186"/>
      <x:c r="B210" s="152"/>
      <x:c r="C210" s="134"/>
      <x:c r="D210" s="136"/>
      <x:c r="E210" s="152"/>
      <x:c r="F210" s="167"/>
    </x:row>
    <x:row r="211">
      <x:c r="A211" s="186"/>
      <x:c r="B211" s="152"/>
      <x:c r="C211" s="134"/>
      <x:c r="D211" s="136"/>
      <x:c r="E211" s="152"/>
      <x:c r="F211" s="167"/>
    </x:row>
    <x:row r="212">
      <x:c r="A212" s="186"/>
      <x:c r="B212" s="152"/>
      <x:c r="C212" s="134"/>
      <x:c r="D212" s="136"/>
      <x:c r="E212" s="152"/>
      <x:c r="F212" s="167"/>
    </x:row>
    <x:row r="213">
      <x:c r="A213" s="186"/>
      <x:c r="B213" s="152"/>
      <x:c r="C213" s="134"/>
      <x:c r="D213" s="136"/>
      <x:c r="E213" s="152"/>
      <x:c r="F213" s="167"/>
    </x:row>
    <x:row r="214">
      <x:c r="A214" s="186"/>
      <x:c r="B214" s="152"/>
      <x:c r="C214" s="134"/>
      <x:c r="D214" s="136"/>
      <x:c r="E214" s="152"/>
      <x:c r="F214" s="167"/>
    </x:row>
    <x:row r="215">
      <x:c r="A215" s="186"/>
      <x:c r="B215" s="152"/>
      <x:c r="C215" s="134"/>
      <x:c r="D215" s="136"/>
      <x:c r="E215" s="152"/>
      <x:c r="F215" s="167"/>
    </x:row>
    <x:row r="216">
      <x:c r="A216" s="186"/>
      <x:c r="B216" s="152"/>
      <x:c r="C216" s="134"/>
      <x:c r="D216" s="136"/>
      <x:c r="E216" s="152"/>
      <x:c r="F216" s="167"/>
    </x:row>
    <x:row r="217">
      <x:c r="A217" s="186"/>
      <x:c r="B217" s="152"/>
      <x:c r="C217" s="134"/>
      <x:c r="D217" s="136"/>
      <x:c r="E217" s="152"/>
      <x:c r="F217" s="167"/>
    </x:row>
    <x:row r="218">
      <x:c r="A218" s="186"/>
      <x:c r="B218" s="152"/>
      <x:c r="C218" s="134"/>
      <x:c r="D218" s="136"/>
      <x:c r="E218" s="152"/>
      <x:c r="F218" s="167"/>
    </x:row>
    <x:row r="219">
      <x:c r="A219" s="186"/>
      <x:c r="B219" s="152"/>
      <x:c r="C219" s="134"/>
      <x:c r="D219" s="136"/>
      <x:c r="E219" s="152"/>
      <x:c r="F219" s="167"/>
    </x:row>
    <x:row r="220">
      <x:c r="A220" s="186"/>
      <x:c r="B220" s="152"/>
      <x:c r="C220" s="134"/>
      <x:c r="D220" s="136"/>
      <x:c r="E220" s="152"/>
      <x:c r="F220" s="167"/>
    </x:row>
    <x:row r="221">
      <x:c r="A221" s="186"/>
      <x:c r="B221" s="152"/>
      <x:c r="C221" s="134"/>
      <x:c r="D221" s="136"/>
      <x:c r="E221" s="152"/>
      <x:c r="F221" s="167"/>
    </x:row>
    <x:row r="222">
      <x:c r="A222" s="186"/>
      <x:c r="B222" s="152"/>
      <x:c r="C222" s="134"/>
      <x:c r="D222" s="136"/>
      <x:c r="E222" s="152"/>
      <x:c r="F222" s="167"/>
    </x:row>
    <x:row r="223">
      <x:c r="A223" s="186"/>
      <x:c r="B223" s="152"/>
      <x:c r="C223" s="134"/>
      <x:c r="D223" s="136"/>
      <x:c r="E223" s="152"/>
      <x:c r="F223" s="167"/>
    </x:row>
    <x:row r="224">
      <x:c r="A224" s="186"/>
      <x:c r="B224" s="152"/>
      <x:c r="C224" s="134"/>
      <x:c r="D224" s="136"/>
      <x:c r="E224" s="152"/>
      <x:c r="F224" s="167"/>
    </x:row>
    <x:row r="225">
      <x:c r="A225" s="186"/>
      <x:c r="B225" s="152"/>
      <x:c r="C225" s="134"/>
      <x:c r="D225" s="136"/>
      <x:c r="E225" s="152"/>
      <x:c r="F225" s="167"/>
    </x:row>
    <x:row r="226">
      <x:c r="A226" s="186"/>
      <x:c r="B226" s="152"/>
      <x:c r="C226" s="134"/>
      <x:c r="D226" s="136"/>
      <x:c r="E226" s="152"/>
      <x:c r="F226" s="167"/>
    </x:row>
    <x:row r="227">
      <x:c r="A227" s="186"/>
      <x:c r="B227" s="152"/>
      <x:c r="C227" s="134"/>
      <x:c r="D227" s="136"/>
      <x:c r="E227" s="152"/>
      <x:c r="F227" s="167"/>
    </x:row>
    <x:row r="228">
      <x:c r="A228" s="186"/>
      <x:c r="B228" s="152"/>
      <x:c r="C228" s="134"/>
      <x:c r="D228" s="136"/>
      <x:c r="E228" s="152"/>
      <x:c r="F228" s="167"/>
    </x:row>
    <x:row r="229">
      <x:c r="A229" s="186"/>
      <x:c r="B229" s="152"/>
      <x:c r="C229" s="134"/>
      <x:c r="D229" s="136"/>
      <x:c r="E229" s="152"/>
      <x:c r="F229" s="167"/>
    </x:row>
    <x:row r="230">
      <x:c r="A230" s="186"/>
      <x:c r="B230" s="152"/>
      <x:c r="C230" s="134"/>
      <x:c r="D230" s="136"/>
      <x:c r="E230" s="152"/>
      <x:c r="F230" s="167"/>
    </x:row>
    <x:row r="231">
      <x:c r="A231" s="186"/>
      <x:c r="B231" s="152"/>
      <x:c r="C231" s="134"/>
      <x:c r="D231" s="136"/>
      <x:c r="E231" s="152"/>
      <x:c r="F231" s="167"/>
    </x:row>
    <x:row r="232">
      <x:c r="A232" s="186"/>
      <x:c r="B232" s="152"/>
      <x:c r="C232" s="134"/>
      <x:c r="D232" s="136"/>
      <x:c r="E232" s="152"/>
      <x:c r="F232" s="167"/>
    </x:row>
    <x:row r="233">
      <x:c r="A233" s="186"/>
      <x:c r="B233" s="152"/>
      <x:c r="C233" s="134"/>
      <x:c r="D233" s="136"/>
      <x:c r="E233" s="152"/>
      <x:c r="F233" s="167"/>
    </x:row>
    <x:row r="234">
      <x:c r="A234" s="186"/>
      <x:c r="B234" s="152"/>
      <x:c r="C234" s="134"/>
      <x:c r="D234" s="136"/>
      <x:c r="E234" s="152"/>
      <x:c r="F234" s="167"/>
    </x:row>
    <x:row r="235">
      <x:c r="A235" s="186"/>
      <x:c r="B235" s="152"/>
      <x:c r="C235" s="134"/>
      <x:c r="D235" s="136"/>
      <x:c r="E235" s="152"/>
      <x:c r="F235" s="167"/>
    </x:row>
    <x:row r="236">
      <x:c r="A236" s="186"/>
      <x:c r="B236" s="152"/>
      <x:c r="C236" s="134"/>
      <x:c r="D236" s="136"/>
      <x:c r="E236" s="152"/>
      <x:c r="F236" s="167"/>
    </x:row>
    <x:row r="237">
      <x:c r="A237" s="186"/>
      <x:c r="B237" s="152"/>
      <x:c r="C237" s="134"/>
      <x:c r="D237" s="136"/>
      <x:c r="E237" s="152"/>
      <x:c r="F237" s="167"/>
    </x:row>
    <x:row r="238">
      <x:c r="A238" s="186"/>
      <x:c r="B238" s="152"/>
      <x:c r="C238" s="134"/>
      <x:c r="D238" s="136"/>
      <x:c r="E238" s="152"/>
      <x:c r="F238" s="167"/>
    </x:row>
    <x:row r="239">
      <x:c r="A239" s="186"/>
      <x:c r="B239" s="152"/>
      <x:c r="C239" s="134"/>
      <x:c r="D239" s="136"/>
      <x:c r="E239" s="152"/>
      <x:c r="F239" s="167"/>
    </x:row>
    <x:row r="240">
      <x:c r="A240" s="186"/>
      <x:c r="B240" s="152"/>
      <x:c r="C240" s="134"/>
      <x:c r="D240" s="136"/>
      <x:c r="E240" s="152"/>
      <x:c r="F240" s="167"/>
    </x:row>
    <x:row r="241">
      <x:c r="A241" s="186"/>
      <x:c r="B241" s="152"/>
      <x:c r="C241" s="134"/>
      <x:c r="D241" s="136"/>
      <x:c r="E241" s="152"/>
      <x:c r="F241" s="167"/>
    </x:row>
    <x:row r="242">
      <x:c r="A242" s="186"/>
      <x:c r="B242" s="152"/>
      <x:c r="C242" s="134"/>
      <x:c r="D242" s="136"/>
      <x:c r="E242" s="152"/>
      <x:c r="F242" s="167"/>
    </x:row>
    <x:row r="243">
      <x:c r="A243" s="186"/>
      <x:c r="B243" s="152"/>
      <x:c r="C243" s="134"/>
      <x:c r="D243" s="136"/>
      <x:c r="E243" s="152"/>
      <x:c r="F243" s="167"/>
    </x:row>
    <x:row r="244">
      <x:c r="A244" s="186"/>
      <x:c r="B244" s="152"/>
      <x:c r="C244" s="134"/>
      <x:c r="D244" s="136"/>
      <x:c r="E244" s="152"/>
      <x:c r="F244" s="167"/>
    </x:row>
    <x:row r="245">
      <x:c r="A245" s="186"/>
      <x:c r="B245" s="152"/>
      <x:c r="C245" s="134"/>
      <x:c r="D245" s="136"/>
      <x:c r="E245" s="152"/>
      <x:c r="F245" s="167"/>
    </x:row>
    <x:row r="246">
      <x:c r="A246" s="186"/>
      <x:c r="B246" s="152"/>
      <x:c r="C246" s="134"/>
      <x:c r="D246" s="136"/>
      <x:c r="E246" s="152"/>
      <x:c r="F246" s="167"/>
    </x:row>
    <x:row r="247">
      <x:c r="A247" s="186"/>
      <x:c r="B247" s="152"/>
      <x:c r="C247" s="134"/>
      <x:c r="D247" s="136"/>
      <x:c r="E247" s="152"/>
      <x:c r="F247" s="167"/>
    </x:row>
    <x:row r="248">
      <x:c r="A248" s="186"/>
      <x:c r="B248" s="152"/>
      <x:c r="C248" s="134"/>
      <x:c r="D248" s="136"/>
      <x:c r="E248" s="152"/>
      <x:c r="F248" s="167"/>
    </x:row>
    <x:row r="249">
      <x:c r="A249" s="186"/>
      <x:c r="B249" s="152"/>
      <x:c r="C249" s="134"/>
      <x:c r="D249" s="136"/>
      <x:c r="E249" s="152"/>
      <x:c r="F249" s="167"/>
    </x:row>
    <x:row r="250">
      <x:c r="A250" s="186"/>
      <x:c r="B250" s="152"/>
      <x:c r="C250" s="134"/>
      <x:c r="D250" s="136"/>
      <x:c r="E250" s="152"/>
      <x:c r="F250" s="167"/>
    </x:row>
    <x:row r="251">
      <x:c r="A251" s="186"/>
      <x:c r="B251" s="152"/>
      <x:c r="C251" s="134"/>
      <x:c r="D251" s="136"/>
      <x:c r="E251" s="152"/>
      <x:c r="F251" s="167"/>
    </x:row>
    <x:row r="252">
      <x:c r="A252" s="186"/>
      <x:c r="B252" s="152"/>
      <x:c r="C252" s="134"/>
      <x:c r="D252" s="136"/>
      <x:c r="E252" s="152"/>
      <x:c r="F252" s="167"/>
    </x:row>
    <x:row r="253">
      <x:c r="A253" s="186"/>
      <x:c r="B253" s="152"/>
      <x:c r="C253" s="134"/>
      <x:c r="D253" s="136"/>
      <x:c r="E253" s="152"/>
      <x:c r="F253" s="167"/>
    </x:row>
    <x:row r="254">
      <x:c r="A254" s="186"/>
      <x:c r="B254" s="152"/>
      <x:c r="C254" s="134"/>
      <x:c r="D254" s="136"/>
      <x:c r="E254" s="152"/>
      <x:c r="F254" s="167"/>
    </x:row>
    <x:row r="255">
      <x:c r="A255" s="186"/>
      <x:c r="B255" s="152"/>
      <x:c r="C255" s="134"/>
      <x:c r="D255" s="136"/>
      <x:c r="E255" s="152"/>
      <x:c r="F255" s="167"/>
    </x:row>
    <x:row r="256">
      <x:c r="A256" s="186"/>
      <x:c r="B256" s="152"/>
      <x:c r="C256" s="134"/>
      <x:c r="D256" s="136"/>
      <x:c r="E256" s="152"/>
      <x:c r="F256" s="167"/>
    </x:row>
    <x:row r="257">
      <x:c r="A257" s="186"/>
      <x:c r="B257" s="152"/>
      <x:c r="C257" s="134"/>
      <x:c r="D257" s="136"/>
      <x:c r="E257" s="152"/>
      <x:c r="F257" s="167"/>
    </x:row>
    <x:row r="258">
      <x:c r="A258" s="186"/>
      <x:c r="B258" s="152"/>
      <x:c r="C258" s="134"/>
      <x:c r="D258" s="136"/>
      <x:c r="E258" s="152"/>
      <x:c r="F258" s="167"/>
    </x:row>
    <x:row r="259">
      <x:c r="A259" s="186"/>
      <x:c r="B259" s="152"/>
      <x:c r="C259" s="134"/>
      <x:c r="D259" s="136"/>
      <x:c r="E259" s="152"/>
      <x:c r="F259" s="167"/>
    </x:row>
    <x:row r="260">
      <x:c r="A260" s="186"/>
      <x:c r="B260" s="152"/>
      <x:c r="C260" s="134"/>
      <x:c r="D260" s="136"/>
      <x:c r="E260" s="152"/>
      <x:c r="F260" s="167"/>
    </x:row>
    <x:row r="261">
      <x:c r="A261" s="186"/>
      <x:c r="B261" s="152"/>
      <x:c r="C261" s="134"/>
      <x:c r="D261" s="136"/>
      <x:c r="E261" s="152"/>
      <x:c r="F261" s="167"/>
    </x:row>
    <x:row r="262">
      <x:c r="A262" s="186"/>
      <x:c r="B262" s="152"/>
      <x:c r="C262" s="134"/>
      <x:c r="D262" s="136"/>
      <x:c r="E262" s="152"/>
      <x:c r="F262" s="167"/>
    </x:row>
    <x:row r="263">
      <x:c r="A263" s="186"/>
      <x:c r="B263" s="152"/>
      <x:c r="C263" s="134"/>
      <x:c r="D263" s="136"/>
      <x:c r="E263" s="152"/>
      <x:c r="F263" s="167"/>
    </x:row>
    <x:row r="264">
      <x:c r="A264" s="186"/>
      <x:c r="B264" s="152"/>
      <x:c r="C264" s="134"/>
      <x:c r="D264" s="136"/>
      <x:c r="E264" s="152"/>
      <x:c r="F264" s="167"/>
    </x:row>
    <x:row r="265">
      <x:c r="A265" s="186"/>
      <x:c r="B265" s="152"/>
      <x:c r="C265" s="134"/>
      <x:c r="D265" s="136"/>
      <x:c r="E265" s="152"/>
      <x:c r="F265" s="167"/>
    </x:row>
    <x:row r="266">
      <x:c r="A266" s="186"/>
      <x:c r="B266" s="152"/>
      <x:c r="C266" s="134"/>
      <x:c r="D266" s="136"/>
      <x:c r="E266" s="152"/>
      <x:c r="F266" s="167"/>
    </x:row>
    <x:row r="267">
      <x:c r="A267" s="186"/>
      <x:c r="B267" s="152"/>
      <x:c r="C267" s="134"/>
      <x:c r="D267" s="136"/>
      <x:c r="E267" s="152"/>
      <x:c r="F267" s="167"/>
    </x:row>
    <x:row r="268">
      <x:c r="A268" s="186"/>
      <x:c r="B268" s="152"/>
      <x:c r="C268" s="134"/>
      <x:c r="D268" s="136"/>
      <x:c r="E268" s="152"/>
      <x:c r="F268" s="167"/>
    </x:row>
    <x:row r="269">
      <x:c r="A269" s="186"/>
      <x:c r="B269" s="152"/>
      <x:c r="C269" s="134"/>
      <x:c r="D269" s="136"/>
      <x:c r="E269" s="152"/>
      <x:c r="F269" s="167"/>
    </x:row>
    <x:row r="270">
      <x:c r="A270" s="186"/>
      <x:c r="B270" s="152"/>
      <x:c r="C270" s="134"/>
      <x:c r="D270" s="136"/>
      <x:c r="E270" s="152"/>
      <x:c r="F270" s="167"/>
    </x:row>
    <x:row r="271">
      <x:c r="A271" s="186"/>
      <x:c r="B271" s="152"/>
      <x:c r="C271" s="134"/>
      <x:c r="D271" s="136"/>
      <x:c r="E271" s="152"/>
      <x:c r="F271" s="167"/>
    </x:row>
    <x:row r="272">
      <x:c r="A272" s="186"/>
      <x:c r="B272" s="152"/>
      <x:c r="C272" s="134"/>
      <x:c r="D272" s="136"/>
      <x:c r="E272" s="152"/>
      <x:c r="F272" s="167"/>
    </x:row>
    <x:row r="273">
      <x:c r="A273" s="186"/>
      <x:c r="B273" s="152"/>
      <x:c r="C273" s="134"/>
      <x:c r="D273" s="136"/>
      <x:c r="E273" s="152"/>
      <x:c r="F273" s="167"/>
    </x:row>
    <x:row r="274">
      <x:c r="A274" s="186"/>
      <x:c r="B274" s="152"/>
      <x:c r="C274" s="134"/>
      <x:c r="D274" s="136"/>
      <x:c r="E274" s="152"/>
      <x:c r="F274" s="167"/>
    </x:row>
    <x:row r="275">
      <x:c r="A275" s="186"/>
      <x:c r="B275" s="152"/>
      <x:c r="C275" s="134"/>
      <x:c r="D275" s="136"/>
      <x:c r="E275" s="152"/>
      <x:c r="F275" s="167"/>
    </x:row>
    <x:row r="276">
      <x:c r="A276" s="186"/>
      <x:c r="B276" s="152"/>
      <x:c r="C276" s="134"/>
      <x:c r="D276" s="136"/>
      <x:c r="E276" s="152"/>
      <x:c r="F276" s="167"/>
    </x:row>
    <x:row r="277">
      <x:c r="A277" s="186"/>
      <x:c r="B277" s="152"/>
      <x:c r="C277" s="134"/>
      <x:c r="D277" s="136"/>
      <x:c r="E277" s="152"/>
      <x:c r="F277" s="167"/>
    </x:row>
    <x:row r="278">
      <x:c r="A278" s="186"/>
      <x:c r="B278" s="152"/>
      <x:c r="C278" s="134"/>
      <x:c r="D278" s="136"/>
      <x:c r="E278" s="152"/>
      <x:c r="F278" s="167"/>
    </x:row>
    <x:row r="279">
      <x:c r="A279" s="186"/>
      <x:c r="B279" s="152"/>
      <x:c r="C279" s="134"/>
      <x:c r="D279" s="136"/>
      <x:c r="E279" s="152"/>
      <x:c r="F279" s="167"/>
    </x:row>
    <x:row r="280">
      <x:c r="A280" s="186"/>
      <x:c r="B280" s="152"/>
      <x:c r="C280" s="134"/>
      <x:c r="D280" s="136"/>
      <x:c r="E280" s="152"/>
      <x:c r="F280" s="167"/>
    </x:row>
    <x:row r="281">
      <x:c r="A281" s="186"/>
      <x:c r="B281" s="152"/>
      <x:c r="C281" s="134"/>
      <x:c r="D281" s="136"/>
      <x:c r="E281" s="152"/>
      <x:c r="F281" s="167"/>
    </x:row>
    <x:row r="282">
      <x:c r="A282" s="186"/>
      <x:c r="B282" s="152"/>
      <x:c r="C282" s="134"/>
      <x:c r="D282" s="136"/>
      <x:c r="E282" s="152"/>
      <x:c r="F282" s="167"/>
    </x:row>
    <x:row r="283">
      <x:c r="A283" s="186"/>
      <x:c r="B283" s="152"/>
      <x:c r="C283" s="134"/>
      <x:c r="D283" s="136"/>
      <x:c r="E283" s="152"/>
      <x:c r="F283" s="167"/>
    </x:row>
    <x:row r="284">
      <x:c r="A284" s="186"/>
      <x:c r="B284" s="152"/>
      <x:c r="C284" s="134"/>
      <x:c r="D284" s="136"/>
      <x:c r="E284" s="152"/>
      <x:c r="F284" s="167"/>
    </x:row>
    <x:row r="285">
      <x:c r="A285" s="186"/>
      <x:c r="B285" s="152"/>
      <x:c r="C285" s="134"/>
      <x:c r="D285" s="136"/>
      <x:c r="E285" s="152"/>
      <x:c r="F285" s="167"/>
    </x:row>
    <x:row r="286">
      <x:c r="A286" s="186"/>
      <x:c r="B286" s="152"/>
      <x:c r="C286" s="134"/>
      <x:c r="D286" s="136"/>
      <x:c r="E286" s="152"/>
      <x:c r="F286" s="167"/>
    </x:row>
    <x:row r="287">
      <x:c r="A287" s="186"/>
      <x:c r="B287" s="152"/>
      <x:c r="C287" s="134"/>
      <x:c r="D287" s="136"/>
      <x:c r="E287" s="152"/>
      <x:c r="F287" s="167"/>
    </x:row>
    <x:row r="288">
      <x:c r="A288" s="186"/>
      <x:c r="B288" s="152"/>
      <x:c r="C288" s="134"/>
      <x:c r="D288" s="136"/>
      <x:c r="E288" s="152"/>
      <x:c r="F288" s="167"/>
    </x:row>
    <x:row r="289">
      <x:c r="A289" s="186"/>
      <x:c r="B289" s="152"/>
      <x:c r="C289" s="134"/>
      <x:c r="D289" s="136"/>
      <x:c r="E289" s="152"/>
      <x:c r="F289" s="167"/>
    </x:row>
    <x:row r="290">
      <x:c r="A290" s="186"/>
      <x:c r="B290" s="152"/>
      <x:c r="C290" s="134"/>
      <x:c r="D290" s="136"/>
      <x:c r="E290" s="152"/>
      <x:c r="F290" s="167"/>
    </x:row>
    <x:row r="291">
      <x:c r="A291" s="186"/>
      <x:c r="B291" s="152"/>
      <x:c r="C291" s="134"/>
      <x:c r="D291" s="136"/>
      <x:c r="E291" s="152"/>
      <x:c r="F291" s="167"/>
    </x:row>
    <x:row r="292">
      <x:c r="A292" s="186"/>
      <x:c r="B292" s="152"/>
      <x:c r="C292" s="134"/>
      <x:c r="D292" s="136"/>
      <x:c r="E292" s="152"/>
      <x:c r="F292" s="167"/>
    </x:row>
    <x:row r="293">
      <x:c r="A293" s="186"/>
      <x:c r="B293" s="152"/>
      <x:c r="C293" s="134"/>
      <x:c r="D293" s="136"/>
      <x:c r="E293" s="152"/>
      <x:c r="F293" s="167"/>
    </x:row>
    <x:row r="294">
      <x:c r="A294" s="186"/>
      <x:c r="B294" s="152"/>
      <x:c r="C294" s="134"/>
      <x:c r="D294" s="136"/>
      <x:c r="E294" s="152"/>
      <x:c r="F294" s="167"/>
    </x:row>
    <x:row r="295">
      <x:c r="A295" s="186"/>
      <x:c r="B295" s="152"/>
      <x:c r="C295" s="134"/>
      <x:c r="D295" s="136"/>
      <x:c r="E295" s="152"/>
      <x:c r="F295" s="167"/>
    </x:row>
    <x:row r="296">
      <x:c r="A296" s="186"/>
      <x:c r="B296" s="152"/>
      <x:c r="C296" s="134"/>
      <x:c r="D296" s="136"/>
      <x:c r="E296" s="152"/>
      <x:c r="F296" s="167"/>
    </x:row>
    <x:row r="297">
      <x:c r="A297" s="186"/>
      <x:c r="B297" s="152"/>
      <x:c r="C297" s="134"/>
      <x:c r="D297" s="136"/>
      <x:c r="E297" s="152"/>
      <x:c r="F297" s="167"/>
    </x:row>
    <x:row r="298">
      <x:c r="A298" s="186"/>
      <x:c r="B298" s="152"/>
      <x:c r="C298" s="134"/>
      <x:c r="D298" s="136"/>
      <x:c r="E298" s="152"/>
      <x:c r="F298" s="167"/>
    </x:row>
    <x:row r="299">
      <x:c r="A299" s="186"/>
      <x:c r="B299" s="152"/>
      <x:c r="C299" s="134"/>
      <x:c r="D299" s="136"/>
      <x:c r="E299" s="152"/>
      <x:c r="F299" s="167"/>
    </x:row>
    <x:row r="300">
      <x:c r="A300" s="186"/>
      <x:c r="B300" s="152"/>
      <x:c r="C300" s="134"/>
      <x:c r="D300" s="136"/>
      <x:c r="E300" s="152"/>
      <x:c r="F300" s="167"/>
    </x:row>
    <x:row r="301">
      <x:c r="A301" s="186"/>
      <x:c r="B301" s="152"/>
      <x:c r="C301" s="134"/>
      <x:c r="D301" s="136"/>
      <x:c r="E301" s="152"/>
      <x:c r="F301" s="167"/>
    </x:row>
    <x:row r="302">
      <x:c r="A302" s="186"/>
      <x:c r="B302" s="152"/>
      <x:c r="C302" s="134"/>
      <x:c r="D302" s="136"/>
      <x:c r="E302" s="152"/>
      <x:c r="F302" s="167"/>
    </x:row>
    <x:row r="303">
      <x:c r="A303" s="186"/>
      <x:c r="B303" s="152"/>
      <x:c r="C303" s="134"/>
      <x:c r="D303" s="136"/>
      <x:c r="E303" s="152"/>
      <x:c r="F303" s="167"/>
    </x:row>
    <x:row r="304">
      <x:c r="A304" s="186"/>
      <x:c r="B304" s="152"/>
      <x:c r="C304" s="134"/>
      <x:c r="D304" s="136"/>
      <x:c r="E304" s="152"/>
      <x:c r="F304" s="167"/>
    </x:row>
    <x:row r="305">
      <x:c r="A305" s="186"/>
      <x:c r="B305" s="152"/>
      <x:c r="C305" s="134"/>
      <x:c r="D305" s="136"/>
      <x:c r="E305" s="152"/>
      <x:c r="F305" s="167"/>
    </x:row>
    <x:row r="306">
      <x:c r="A306" s="186"/>
      <x:c r="B306" s="152"/>
      <x:c r="C306" s="134"/>
      <x:c r="D306" s="136"/>
      <x:c r="E306" s="152"/>
      <x:c r="F306" s="167"/>
    </x:row>
    <x:row r="307">
      <x:c r="A307" s="186"/>
      <x:c r="B307" s="152"/>
      <x:c r="C307" s="134"/>
      <x:c r="D307" s="136"/>
      <x:c r="E307" s="152"/>
      <x:c r="F307" s="167"/>
    </x:row>
    <x:row r="308">
      <x:c r="A308" s="186"/>
      <x:c r="B308" s="152"/>
      <x:c r="C308" s="134"/>
      <x:c r="D308" s="136"/>
      <x:c r="E308" s="152"/>
      <x:c r="F308" s="167"/>
    </x:row>
    <x:row r="309">
      <x:c r="A309" s="186"/>
      <x:c r="B309" s="152"/>
      <x:c r="C309" s="134"/>
      <x:c r="D309" s="136"/>
      <x:c r="E309" s="152"/>
      <x:c r="F309" s="167"/>
    </x:row>
    <x:row r="310">
      <x:c r="A310" s="186"/>
      <x:c r="B310" s="152"/>
      <x:c r="C310" s="134"/>
      <x:c r="D310" s="136"/>
      <x:c r="E310" s="152"/>
      <x:c r="F310" s="167"/>
    </x:row>
    <x:row r="311">
      <x:c r="A311" s="186"/>
      <x:c r="B311" s="152"/>
      <x:c r="C311" s="134"/>
      <x:c r="D311" s="136"/>
      <x:c r="E311" s="152"/>
      <x:c r="F311" s="167"/>
    </x:row>
    <x:row r="312">
      <x:c r="A312" s="186"/>
      <x:c r="B312" s="152"/>
      <x:c r="C312" s="134"/>
      <x:c r="D312" s="136"/>
      <x:c r="E312" s="152"/>
      <x:c r="F312" s="167"/>
    </x:row>
    <x:row r="313">
      <x:c r="A313" s="186"/>
      <x:c r="B313" s="152"/>
      <x:c r="C313" s="134"/>
      <x:c r="D313" s="136"/>
      <x:c r="E313" s="152"/>
      <x:c r="F313" s="167"/>
    </x:row>
    <x:row r="314">
      <x:c r="A314" s="186"/>
      <x:c r="B314" s="152"/>
      <x:c r="C314" s="134"/>
      <x:c r="D314" s="136"/>
      <x:c r="E314" s="152"/>
      <x:c r="F314" s="167"/>
    </x:row>
    <x:row r="315">
      <x:c r="A315" s="186"/>
      <x:c r="B315" s="152"/>
      <x:c r="C315" s="134"/>
      <x:c r="D315" s="136"/>
      <x:c r="E315" s="152"/>
      <x:c r="F315" s="167"/>
    </x:row>
    <x:row r="316">
      <x:c r="A316" s="186"/>
      <x:c r="B316" s="152"/>
      <x:c r="C316" s="134"/>
      <x:c r="D316" s="136"/>
      <x:c r="E316" s="152"/>
      <x:c r="F316" s="167"/>
    </x:row>
    <x:row r="317">
      <x:c r="A317" s="186"/>
      <x:c r="B317" s="152"/>
      <x:c r="C317" s="134"/>
      <x:c r="D317" s="136"/>
      <x:c r="E317" s="152"/>
      <x:c r="F317" s="167"/>
    </x:row>
    <x:row r="318">
      <x:c r="A318" s="186"/>
      <x:c r="B318" s="152"/>
      <x:c r="C318" s="134"/>
      <x:c r="D318" s="136"/>
      <x:c r="E318" s="152"/>
      <x:c r="F318" s="167"/>
    </x:row>
    <x:row r="319">
      <x:c r="A319" s="186"/>
      <x:c r="B319" s="152"/>
      <x:c r="C319" s="134"/>
      <x:c r="D319" s="136"/>
      <x:c r="E319" s="152"/>
      <x:c r="F319" s="167"/>
    </x:row>
    <x:row r="320">
      <x:c r="A320" s="186"/>
      <x:c r="B320" s="152"/>
      <x:c r="C320" s="134"/>
      <x:c r="D320" s="136"/>
      <x:c r="E320" s="152"/>
      <x:c r="F320" s="167"/>
    </x:row>
    <x:row r="321">
      <x:c r="A321" s="186"/>
      <x:c r="B321" s="152"/>
      <x:c r="C321" s="134"/>
      <x:c r="D321" s="136"/>
      <x:c r="E321" s="152"/>
      <x:c r="F321" s="167"/>
    </x:row>
    <x:row r="322">
      <x:c r="A322" s="186"/>
      <x:c r="B322" s="152"/>
      <x:c r="C322" s="134"/>
      <x:c r="D322" s="136"/>
      <x:c r="E322" s="152"/>
      <x:c r="F322" s="167"/>
    </x:row>
    <x:row r="323">
      <x:c r="A323" s="186"/>
      <x:c r="B323" s="152"/>
      <x:c r="C323" s="134"/>
      <x:c r="D323" s="136"/>
      <x:c r="E323" s="152"/>
      <x:c r="F323" s="167"/>
    </x:row>
    <x:row r="324">
      <x:c r="A324" s="186"/>
      <x:c r="B324" s="152"/>
      <x:c r="C324" s="134"/>
      <x:c r="D324" s="136"/>
      <x:c r="E324" s="152"/>
      <x:c r="F324" s="167"/>
    </x:row>
    <x:row r="325">
      <x:c r="A325" s="186"/>
      <x:c r="B325" s="152"/>
      <x:c r="C325" s="134"/>
      <x:c r="D325" s="136"/>
      <x:c r="E325" s="152"/>
      <x:c r="F325" s="167"/>
    </x:row>
    <x:row r="326">
      <x:c r="A326" s="186"/>
      <x:c r="B326" s="152"/>
      <x:c r="C326" s="134"/>
      <x:c r="D326" s="136"/>
      <x:c r="E326" s="152"/>
      <x:c r="F326" s="167"/>
    </x:row>
    <x:row r="327">
      <x:c r="A327" s="186"/>
      <x:c r="B327" s="152"/>
      <x:c r="C327" s="134"/>
      <x:c r="D327" s="136"/>
      <x:c r="E327" s="152"/>
      <x:c r="F327" s="167"/>
    </x:row>
    <x:row r="328">
      <x:c r="A328" s="186"/>
      <x:c r="B328" s="152"/>
      <x:c r="C328" s="134"/>
      <x:c r="D328" s="136"/>
      <x:c r="E328" s="152"/>
      <x:c r="F328" s="167"/>
    </x:row>
    <x:row r="329">
      <x:c r="A329" s="186"/>
      <x:c r="B329" s="152"/>
      <x:c r="C329" s="134"/>
      <x:c r="D329" s="136"/>
      <x:c r="E329" s="152"/>
      <x:c r="F329" s="167"/>
    </x:row>
    <x:row r="330">
      <x:c r="A330" s="186"/>
      <x:c r="B330" s="152"/>
      <x:c r="C330" s="134"/>
      <x:c r="D330" s="136"/>
      <x:c r="E330" s="152"/>
      <x:c r="F330" s="167"/>
    </x:row>
    <x:row r="331">
      <x:c r="A331" s="186"/>
      <x:c r="B331" s="152"/>
      <x:c r="C331" s="134"/>
      <x:c r="D331" s="136"/>
      <x:c r="E331" s="152"/>
      <x:c r="F331" s="167"/>
    </x:row>
    <x:row r="332">
      <x:c r="A332" s="186"/>
      <x:c r="B332" s="152"/>
      <x:c r="C332" s="134"/>
      <x:c r="D332" s="136"/>
      <x:c r="E332" s="152"/>
      <x:c r="F332" s="167"/>
    </x:row>
    <x:row r="333">
      <x:c r="A333" s="186"/>
      <x:c r="B333" s="152"/>
      <x:c r="C333" s="134"/>
      <x:c r="D333" s="136"/>
      <x:c r="E333" s="152"/>
      <x:c r="F333" s="167"/>
    </x:row>
    <x:row r="334">
      <x:c r="A334" s="186"/>
      <x:c r="B334" s="152"/>
      <x:c r="C334" s="134"/>
      <x:c r="D334" s="136"/>
      <x:c r="E334" s="152"/>
      <x:c r="F334" s="167"/>
    </x:row>
    <x:row r="335">
      <x:c r="A335" s="186"/>
      <x:c r="B335" s="152"/>
      <x:c r="C335" s="134"/>
      <x:c r="D335" s="136"/>
      <x:c r="E335" s="152"/>
      <x:c r="F335" s="167"/>
    </x:row>
    <x:row r="336">
      <x:c r="A336" s="186"/>
      <x:c r="B336" s="152"/>
      <x:c r="C336" s="134"/>
      <x:c r="D336" s="136"/>
      <x:c r="E336" s="152"/>
      <x:c r="F336" s="167"/>
    </x:row>
    <x:row r="337">
      <x:c r="A337" s="186"/>
      <x:c r="B337" s="152"/>
      <x:c r="C337" s="134"/>
      <x:c r="D337" s="136"/>
      <x:c r="E337" s="152"/>
      <x:c r="F337" s="167"/>
    </x:row>
    <x:row r="338">
      <x:c r="A338" s="186"/>
      <x:c r="B338" s="152"/>
      <x:c r="C338" s="134"/>
      <x:c r="D338" s="136"/>
      <x:c r="E338" s="152"/>
      <x:c r="F338" s="167"/>
    </x:row>
    <x:row r="339">
      <x:c r="A339" s="186"/>
      <x:c r="B339" s="152"/>
      <x:c r="C339" s="134"/>
      <x:c r="D339" s="136"/>
      <x:c r="E339" s="152"/>
      <x:c r="F339" s="167"/>
    </x:row>
    <x:row r="340">
      <x:c r="A340" s="186"/>
      <x:c r="B340" s="152"/>
      <x:c r="C340" s="134"/>
      <x:c r="D340" s="136"/>
      <x:c r="E340" s="152"/>
      <x:c r="F340" s="167"/>
    </x:row>
    <x:row r="341">
      <x:c r="A341" s="186"/>
      <x:c r="B341" s="152"/>
      <x:c r="C341" s="134"/>
      <x:c r="D341" s="136"/>
      <x:c r="E341" s="152"/>
      <x:c r="F341" s="167"/>
    </x:row>
    <x:row r="342">
      <x:c r="A342" s="186"/>
      <x:c r="B342" s="152"/>
      <x:c r="C342" s="134"/>
      <x:c r="D342" s="136"/>
      <x:c r="E342" s="152"/>
      <x:c r="F342" s="167"/>
    </x:row>
    <x:row r="343">
      <x:c r="A343" s="186"/>
      <x:c r="B343" s="152"/>
      <x:c r="C343" s="134"/>
      <x:c r="D343" s="136"/>
      <x:c r="E343" s="152"/>
      <x:c r="F343" s="167"/>
    </x:row>
    <x:row r="344">
      <x:c r="A344" s="186"/>
      <x:c r="B344" s="152"/>
      <x:c r="C344" s="134"/>
      <x:c r="D344" s="136"/>
      <x:c r="E344" s="152"/>
      <x:c r="F344" s="167"/>
    </x:row>
    <x:row r="345">
      <x:c r="A345" s="186"/>
      <x:c r="B345" s="152"/>
      <x:c r="C345" s="134"/>
      <x:c r="D345" s="136"/>
      <x:c r="E345" s="152"/>
      <x:c r="F345" s="167"/>
    </x:row>
    <x:row r="346">
      <x:c r="A346" s="186"/>
      <x:c r="B346" s="152"/>
      <x:c r="C346" s="134"/>
      <x:c r="D346" s="136"/>
      <x:c r="E346" s="152"/>
      <x:c r="F346" s="167"/>
    </x:row>
    <x:row r="347">
      <x:c r="A347" s="186"/>
      <x:c r="B347" s="152"/>
      <x:c r="C347" s="134"/>
      <x:c r="D347" s="136"/>
      <x:c r="E347" s="152"/>
      <x:c r="F347" s="167"/>
    </x:row>
    <x:row r="348">
      <x:c r="A348" s="186"/>
      <x:c r="B348" s="152"/>
      <x:c r="C348" s="134"/>
      <x:c r="D348" s="136"/>
      <x:c r="E348" s="152"/>
      <x:c r="F348" s="167"/>
    </x:row>
    <x:row r="349">
      <x:c r="A349" s="186"/>
      <x:c r="B349" s="152"/>
      <x:c r="C349" s="134"/>
      <x:c r="D349" s="136"/>
      <x:c r="E349" s="152"/>
      <x:c r="F349" s="167"/>
    </x:row>
    <x:row r="350">
      <x:c r="A350" s="186"/>
      <x:c r="B350" s="152"/>
      <x:c r="C350" s="134"/>
      <x:c r="D350" s="136"/>
      <x:c r="E350" s="152"/>
      <x:c r="F350" s="167"/>
    </x:row>
    <x:row r="351">
      <x:c r="A351" s="186"/>
      <x:c r="B351" s="152"/>
      <x:c r="C351" s="134"/>
      <x:c r="D351" s="136"/>
      <x:c r="E351" s="152"/>
      <x:c r="F351" s="167"/>
    </x:row>
    <x:row r="352">
      <x:c r="A352" s="186"/>
      <x:c r="B352" s="152"/>
      <x:c r="C352" s="134"/>
      <x:c r="D352" s="136"/>
      <x:c r="E352" s="152"/>
      <x:c r="F352" s="167"/>
    </x:row>
    <x:row r="353">
      <x:c r="A353" s="186"/>
      <x:c r="B353" s="152"/>
      <x:c r="C353" s="134"/>
      <x:c r="D353" s="136"/>
      <x:c r="E353" s="152"/>
      <x:c r="F353" s="167"/>
    </x:row>
    <x:row r="354">
      <x:c r="A354" s="186"/>
      <x:c r="B354" s="152"/>
      <x:c r="C354" s="134"/>
      <x:c r="D354" s="136"/>
      <x:c r="E354" s="152"/>
      <x:c r="F354" s="167"/>
    </x:row>
    <x:row r="355">
      <x:c r="A355" s="186"/>
      <x:c r="B355" s="152"/>
      <x:c r="C355" s="134"/>
      <x:c r="D355" s="136"/>
      <x:c r="E355" s="152"/>
      <x:c r="F355" s="167"/>
    </x:row>
    <x:row r="356">
      <x:c r="A356" s="186"/>
      <x:c r="B356" s="152"/>
      <x:c r="C356" s="134"/>
      <x:c r="D356" s="136"/>
      <x:c r="E356" s="152"/>
      <x:c r="F356" s="167"/>
    </x:row>
    <x:row r="357">
      <x:c r="A357" s="186"/>
      <x:c r="B357" s="152"/>
      <x:c r="C357" s="134"/>
      <x:c r="D357" s="136"/>
      <x:c r="E357" s="152"/>
      <x:c r="F357" s="167"/>
    </x:row>
    <x:row r="358">
      <x:c r="A358" s="186"/>
      <x:c r="B358" s="152"/>
      <x:c r="C358" s="134"/>
      <x:c r="D358" s="136"/>
      <x:c r="E358" s="152"/>
      <x:c r="F358" s="167"/>
    </x:row>
    <x:row r="359">
      <x:c r="A359" s="186"/>
      <x:c r="B359" s="152"/>
      <x:c r="C359" s="134"/>
      <x:c r="D359" s="136"/>
      <x:c r="E359" s="152"/>
      <x:c r="F359" s="167"/>
    </x:row>
    <x:row r="360">
      <x:c r="A360" s="186"/>
      <x:c r="B360" s="152"/>
      <x:c r="C360" s="134"/>
      <x:c r="D360" s="136"/>
      <x:c r="E360" s="152"/>
      <x:c r="F360" s="167"/>
    </x:row>
    <x:row r="361">
      <x:c r="A361" s="186"/>
      <x:c r="B361" s="152"/>
      <x:c r="C361" s="134"/>
      <x:c r="D361" s="136"/>
      <x:c r="E361" s="152"/>
      <x:c r="F361" s="167"/>
    </x:row>
    <x:row r="362">
      <x:c r="A362" s="186"/>
      <x:c r="B362" s="152"/>
      <x:c r="C362" s="134"/>
      <x:c r="D362" s="136"/>
      <x:c r="E362" s="152"/>
      <x:c r="F362" s="167"/>
    </x:row>
    <x:row r="363">
      <x:c r="A363" s="186"/>
      <x:c r="B363" s="152"/>
      <x:c r="C363" s="134"/>
      <x:c r="D363" s="136"/>
      <x:c r="E363" s="152"/>
      <x:c r="F363" s="167"/>
    </x:row>
    <x:row r="364">
      <x:c r="A364" s="186"/>
      <x:c r="B364" s="152"/>
      <x:c r="C364" s="134"/>
      <x:c r="D364" s="136"/>
      <x:c r="E364" s="152"/>
      <x:c r="F364" s="167"/>
    </x:row>
    <x:row r="365">
      <x:c r="A365" s="186"/>
      <x:c r="B365" s="152"/>
      <x:c r="C365" s="134"/>
      <x:c r="D365" s="136"/>
      <x:c r="E365" s="152"/>
      <x:c r="F365" s="167"/>
    </x:row>
    <x:row r="366">
      <x:c r="A366" s="186"/>
      <x:c r="B366" s="152"/>
      <x:c r="C366" s="134"/>
      <x:c r="D366" s="136"/>
      <x:c r="E366" s="152"/>
      <x:c r="F366" s="167"/>
    </x:row>
    <x:row r="367">
      <x:c r="A367" s="186"/>
      <x:c r="B367" s="152"/>
      <x:c r="C367" s="134"/>
      <x:c r="D367" s="136"/>
      <x:c r="E367" s="152"/>
      <x:c r="F367" s="167"/>
    </x:row>
    <x:row r="368">
      <x:c r="A368" s="186"/>
      <x:c r="B368" s="152"/>
      <x:c r="C368" s="134"/>
      <x:c r="D368" s="136"/>
      <x:c r="E368" s="152"/>
      <x:c r="F368" s="167"/>
    </x:row>
    <x:row r="369">
      <x:c r="A369" s="186"/>
      <x:c r="B369" s="152"/>
      <x:c r="C369" s="134"/>
      <x:c r="D369" s="136"/>
      <x:c r="E369" s="152"/>
      <x:c r="F369" s="167"/>
    </x:row>
    <x:row r="370">
      <x:c r="A370" s="186"/>
      <x:c r="B370" s="152"/>
      <x:c r="C370" s="134"/>
      <x:c r="D370" s="136"/>
      <x:c r="E370" s="152"/>
      <x:c r="F370" s="167"/>
    </x:row>
    <x:row r="371">
      <x:c r="A371" s="186"/>
      <x:c r="B371" s="152"/>
      <x:c r="C371" s="134"/>
      <x:c r="D371" s="136"/>
      <x:c r="E371" s="152"/>
      <x:c r="F371" s="167"/>
    </x:row>
    <x:row r="372">
      <x:c r="A372" s="186"/>
      <x:c r="B372" s="152"/>
      <x:c r="C372" s="134"/>
      <x:c r="D372" s="136"/>
      <x:c r="E372" s="152"/>
      <x:c r="F372" s="167"/>
    </x:row>
    <x:row r="373">
      <x:c r="A373" s="186"/>
      <x:c r="B373" s="152"/>
      <x:c r="C373" s="134"/>
      <x:c r="D373" s="136"/>
      <x:c r="E373" s="152"/>
      <x:c r="F373" s="167"/>
    </x:row>
    <x:row r="374">
      <x:c r="A374" s="186"/>
      <x:c r="B374" s="152"/>
      <x:c r="C374" s="134"/>
      <x:c r="D374" s="136"/>
      <x:c r="E374" s="152"/>
      <x:c r="F374" s="167"/>
    </x:row>
    <x:row r="375">
      <x:c r="A375" s="186"/>
      <x:c r="B375" s="152"/>
      <x:c r="C375" s="134"/>
      <x:c r="D375" s="136"/>
      <x:c r="E375" s="152"/>
      <x:c r="F375" s="167"/>
    </x:row>
    <x:row r="376">
      <x:c r="A376" s="186"/>
      <x:c r="B376" s="152"/>
      <x:c r="C376" s="134"/>
      <x:c r="D376" s="136"/>
      <x:c r="E376" s="152"/>
      <x:c r="F376" s="167"/>
    </x:row>
    <x:row r="377">
      <x:c r="A377" s="186"/>
      <x:c r="B377" s="152"/>
      <x:c r="C377" s="134"/>
      <x:c r="D377" s="136"/>
      <x:c r="E377" s="152"/>
      <x:c r="F377" s="167"/>
    </x:row>
    <x:row r="378">
      <x:c r="A378" s="186"/>
      <x:c r="B378" s="152"/>
      <x:c r="C378" s="134"/>
      <x:c r="D378" s="136"/>
      <x:c r="E378" s="152"/>
      <x:c r="F378" s="167"/>
    </x:row>
    <x:row r="379">
      <x:c r="A379" s="186"/>
      <x:c r="B379" s="152"/>
      <x:c r="C379" s="134"/>
      <x:c r="D379" s="136"/>
      <x:c r="E379" s="152"/>
      <x:c r="F379" s="167"/>
    </x:row>
    <x:row r="380">
      <x:c r="A380" s="186"/>
      <x:c r="B380" s="152"/>
      <x:c r="C380" s="134"/>
      <x:c r="D380" s="136"/>
      <x:c r="E380" s="152"/>
      <x:c r="F380" s="167"/>
    </x:row>
    <x:row r="381">
      <x:c r="A381" s="186"/>
      <x:c r="B381" s="152"/>
      <x:c r="C381" s="134"/>
      <x:c r="D381" s="136"/>
      <x:c r="E381" s="152"/>
      <x:c r="F381" s="167"/>
    </x:row>
    <x:row r="382">
      <x:c r="A382" s="186"/>
      <x:c r="B382" s="152"/>
      <x:c r="C382" s="134"/>
      <x:c r="D382" s="136"/>
      <x:c r="E382" s="152"/>
      <x:c r="F382" s="167"/>
    </x:row>
    <x:row r="383">
      <x:c r="A383" s="186"/>
      <x:c r="B383" s="152"/>
      <x:c r="C383" s="134"/>
      <x:c r="D383" s="136"/>
      <x:c r="E383" s="152"/>
      <x:c r="F383" s="167"/>
    </x:row>
    <x:row r="384">
      <x:c r="A384" s="186"/>
      <x:c r="B384" s="152"/>
      <x:c r="C384" s="134"/>
      <x:c r="D384" s="136"/>
      <x:c r="E384" s="152"/>
      <x:c r="F384" s="167"/>
    </x:row>
    <x:row r="385">
      <x:c r="A385" s="186"/>
      <x:c r="B385" s="152"/>
      <x:c r="C385" s="134"/>
      <x:c r="D385" s="136"/>
      <x:c r="E385" s="152"/>
      <x:c r="F385" s="167"/>
    </x:row>
    <x:row r="386">
      <x:c r="A386" s="186"/>
      <x:c r="B386" s="152"/>
      <x:c r="C386" s="134"/>
      <x:c r="D386" s="136"/>
      <x:c r="E386" s="152"/>
      <x:c r="F386" s="167"/>
    </x:row>
    <x:row r="387">
      <x:c r="A387" s="186"/>
      <x:c r="B387" s="152"/>
      <x:c r="C387" s="134"/>
      <x:c r="D387" s="136"/>
      <x:c r="E387" s="152"/>
      <x:c r="F387" s="167"/>
    </x:row>
    <x:row r="388">
      <x:c r="A388" s="186"/>
      <x:c r="B388" s="152"/>
      <x:c r="C388" s="134"/>
      <x:c r="D388" s="136"/>
      <x:c r="E388" s="152"/>
      <x:c r="F388" s="167"/>
    </x:row>
    <x:row r="389">
      <x:c r="A389" s="186"/>
      <x:c r="B389" s="152"/>
      <x:c r="C389" s="134"/>
      <x:c r="D389" s="136"/>
      <x:c r="E389" s="152"/>
      <x:c r="F389" s="167"/>
    </x:row>
    <x:row r="390">
      <x:c r="A390" s="186"/>
      <x:c r="B390" s="152"/>
      <x:c r="C390" s="134"/>
      <x:c r="D390" s="136"/>
      <x:c r="E390" s="152"/>
      <x:c r="F390" s="167"/>
    </x:row>
    <x:row r="391">
      <x:c r="A391" s="186"/>
      <x:c r="B391" s="152"/>
      <x:c r="C391" s="134"/>
      <x:c r="D391" s="136"/>
      <x:c r="E391" s="152"/>
      <x:c r="F391" s="167"/>
    </x:row>
    <x:row r="392">
      <x:c r="A392" s="186"/>
      <x:c r="B392" s="152"/>
      <x:c r="C392" s="134"/>
      <x:c r="D392" s="136"/>
      <x:c r="E392" s="152"/>
      <x:c r="F392" s="167"/>
    </x:row>
    <x:row r="393">
      <x:c r="A393" s="186"/>
      <x:c r="B393" s="152"/>
      <x:c r="C393" s="134"/>
      <x:c r="D393" s="136"/>
      <x:c r="E393" s="152"/>
      <x:c r="F393" s="167"/>
    </x:row>
    <x:row r="394">
      <x:c r="A394" s="186"/>
      <x:c r="B394" s="152"/>
      <x:c r="C394" s="134"/>
      <x:c r="D394" s="136"/>
      <x:c r="E394" s="152"/>
      <x:c r="F394" s="167"/>
    </x:row>
    <x:row r="395">
      <x:c r="A395" s="186"/>
      <x:c r="B395" s="152"/>
      <x:c r="C395" s="134"/>
      <x:c r="D395" s="136"/>
      <x:c r="E395" s="152"/>
      <x:c r="F395" s="167"/>
    </x:row>
    <x:row r="396">
      <x:c r="A396" s="186"/>
      <x:c r="B396" s="152"/>
      <x:c r="C396" s="134"/>
      <x:c r="D396" s="136"/>
      <x:c r="E396" s="152"/>
      <x:c r="F396" s="167"/>
    </x:row>
    <x:row r="397">
      <x:c r="A397" s="186"/>
      <x:c r="B397" s="152"/>
      <x:c r="C397" s="134"/>
      <x:c r="D397" s="136"/>
      <x:c r="E397" s="152"/>
      <x:c r="F397" s="167"/>
    </x:row>
    <x:row r="398">
      <x:c r="A398" s="186"/>
      <x:c r="B398" s="152"/>
      <x:c r="C398" s="134"/>
      <x:c r="D398" s="136"/>
      <x:c r="E398" s="152"/>
      <x:c r="F398" s="167"/>
    </x:row>
    <x:row r="399">
      <x:c r="A399" s="186"/>
      <x:c r="B399" s="152"/>
      <x:c r="C399" s="134"/>
      <x:c r="D399" s="136"/>
      <x:c r="E399" s="152"/>
      <x:c r="F399" s="167"/>
    </x:row>
    <x:row r="400">
      <x:c r="A400" s="186"/>
      <x:c r="B400" s="152"/>
      <x:c r="C400" s="134"/>
      <x:c r="D400" s="136"/>
      <x:c r="E400" s="152"/>
      <x:c r="F400" s="167"/>
    </x:row>
    <x:row r="401">
      <x:c r="A401" s="186"/>
      <x:c r="B401" s="152"/>
      <x:c r="C401" s="134"/>
      <x:c r="D401" s="136"/>
      <x:c r="E401" s="152"/>
      <x:c r="F401" s="167"/>
    </x:row>
    <x:row r="402">
      <x:c r="A402" s="186"/>
      <x:c r="B402" s="152"/>
      <x:c r="C402" s="134"/>
      <x:c r="D402" s="136"/>
      <x:c r="E402" s="152"/>
      <x:c r="F402" s="167"/>
    </x:row>
    <x:row r="403">
      <x:c r="A403" s="186"/>
      <x:c r="B403" s="152"/>
      <x:c r="C403" s="134"/>
      <x:c r="D403" s="136"/>
      <x:c r="E403" s="152"/>
      <x:c r="F403" s="167"/>
    </x:row>
    <x:row r="404">
      <x:c r="A404" s="186"/>
      <x:c r="B404" s="152"/>
      <x:c r="C404" s="134"/>
      <x:c r="D404" s="136"/>
      <x:c r="E404" s="152"/>
      <x:c r="F404" s="167"/>
    </x:row>
    <x:row r="405">
      <x:c r="A405" s="186"/>
      <x:c r="B405" s="152"/>
      <x:c r="C405" s="134"/>
      <x:c r="D405" s="136"/>
      <x:c r="E405" s="152"/>
      <x:c r="F405" s="167"/>
    </x:row>
    <x:row r="406">
      <x:c r="A406" s="186"/>
      <x:c r="B406" s="152"/>
      <x:c r="C406" s="134"/>
      <x:c r="D406" s="136"/>
      <x:c r="E406" s="152"/>
      <x:c r="F406" s="167"/>
    </x:row>
    <x:row r="407">
      <x:c r="A407" s="186"/>
      <x:c r="B407" s="152"/>
      <x:c r="C407" s="134"/>
      <x:c r="D407" s="136"/>
      <x:c r="E407" s="152"/>
      <x:c r="F407" s="167"/>
    </x:row>
    <x:row r="408">
      <x:c r="A408" s="186"/>
      <x:c r="B408" s="152"/>
      <x:c r="C408" s="134"/>
      <x:c r="D408" s="136"/>
      <x:c r="E408" s="152"/>
      <x:c r="F408" s="167"/>
    </x:row>
    <x:row r="409">
      <x:c r="A409" s="186"/>
      <x:c r="B409" s="152"/>
      <x:c r="C409" s="134"/>
      <x:c r="D409" s="136"/>
      <x:c r="E409" s="152"/>
      <x:c r="F409" s="167"/>
    </x:row>
    <x:row r="410">
      <x:c r="A410" s="186"/>
      <x:c r="B410" s="152"/>
      <x:c r="C410" s="134"/>
      <x:c r="D410" s="136"/>
      <x:c r="E410" s="152"/>
      <x:c r="F410" s="167"/>
    </x:row>
    <x:row r="411">
      <x:c r="A411" s="186"/>
      <x:c r="B411" s="152"/>
      <x:c r="C411" s="134"/>
      <x:c r="D411" s="136"/>
      <x:c r="E411" s="152"/>
      <x:c r="F411" s="167"/>
    </x:row>
    <x:row r="412">
      <x:c r="A412" s="186"/>
      <x:c r="B412" s="152"/>
      <x:c r="C412" s="134"/>
      <x:c r="D412" s="136"/>
      <x:c r="E412" s="152"/>
      <x:c r="F412" s="167"/>
    </x:row>
    <x:row r="413">
      <x:c r="A413" s="186"/>
      <x:c r="B413" s="152"/>
      <x:c r="C413" s="134"/>
      <x:c r="D413" s="136"/>
      <x:c r="E413" s="152"/>
      <x:c r="F413" s="167"/>
    </x:row>
    <x:row r="414">
      <x:c r="A414" s="186"/>
      <x:c r="B414" s="152"/>
      <x:c r="C414" s="134"/>
      <x:c r="D414" s="136"/>
      <x:c r="E414" s="152"/>
      <x:c r="F414" s="167"/>
    </x:row>
    <x:row r="415">
      <x:c r="A415" s="186"/>
      <x:c r="B415" s="152"/>
      <x:c r="C415" s="134"/>
      <x:c r="D415" s="136"/>
      <x:c r="E415" s="152"/>
      <x:c r="F415" s="167"/>
    </x:row>
    <x:row r="416">
      <x:c r="A416" s="186"/>
      <x:c r="B416" s="152"/>
      <x:c r="C416" s="134"/>
      <x:c r="D416" s="136"/>
      <x:c r="E416" s="152"/>
      <x:c r="F416" s="167"/>
    </x:row>
    <x:row r="417">
      <x:c r="A417" s="186"/>
      <x:c r="B417" s="152"/>
      <x:c r="C417" s="134"/>
      <x:c r="D417" s="136"/>
      <x:c r="E417" s="152"/>
      <x:c r="F417" s="167"/>
    </x:row>
    <x:row r="418">
      <x:c r="A418" s="186"/>
      <x:c r="B418" s="152"/>
      <x:c r="C418" s="134"/>
      <x:c r="D418" s="136"/>
      <x:c r="E418" s="152"/>
      <x:c r="F418" s="167"/>
    </x:row>
    <x:row r="419">
      <x:c r="A419" s="186"/>
      <x:c r="B419" s="152"/>
      <x:c r="C419" s="134"/>
      <x:c r="D419" s="136"/>
      <x:c r="E419" s="152"/>
      <x:c r="F419" s="167"/>
    </x:row>
    <x:row r="420">
      <x:c r="A420" s="186"/>
      <x:c r="B420" s="152"/>
      <x:c r="C420" s="134"/>
      <x:c r="D420" s="136"/>
      <x:c r="E420" s="152"/>
      <x:c r="F420" s="167"/>
    </x:row>
    <x:row r="421">
      <x:c r="A421" s="186"/>
      <x:c r="B421" s="152"/>
      <x:c r="C421" s="134"/>
      <x:c r="D421" s="136"/>
      <x:c r="E421" s="152"/>
      <x:c r="F421" s="167"/>
    </x:row>
    <x:row r="422">
      <x:c r="A422" s="186"/>
      <x:c r="B422" s="152"/>
      <x:c r="C422" s="134"/>
      <x:c r="D422" s="136"/>
      <x:c r="E422" s="152"/>
      <x:c r="F422" s="167"/>
    </x:row>
    <x:row r="423">
      <x:c r="A423" s="186"/>
      <x:c r="B423" s="152"/>
      <x:c r="C423" s="134"/>
      <x:c r="D423" s="136"/>
      <x:c r="E423" s="152"/>
      <x:c r="F423" s="167"/>
    </x:row>
    <x:row r="424">
      <x:c r="A424" s="186"/>
      <x:c r="B424" s="152"/>
      <x:c r="C424" s="134"/>
      <x:c r="D424" s="136"/>
      <x:c r="E424" s="152"/>
      <x:c r="F424" s="167"/>
    </x:row>
    <x:row r="425">
      <x:c r="A425" s="186"/>
      <x:c r="B425" s="152"/>
      <x:c r="C425" s="134"/>
      <x:c r="D425" s="136"/>
      <x:c r="E425" s="152"/>
      <x:c r="F425" s="167"/>
    </x:row>
    <x:row r="426">
      <x:c r="A426" s="186"/>
      <x:c r="B426" s="152"/>
      <x:c r="C426" s="134"/>
      <x:c r="D426" s="136"/>
      <x:c r="E426" s="152"/>
      <x:c r="F426" s="167"/>
    </x:row>
    <x:row r="427">
      <x:c r="A427" s="186"/>
      <x:c r="B427" s="152"/>
      <x:c r="C427" s="134"/>
      <x:c r="D427" s="136"/>
      <x:c r="E427" s="152"/>
      <x:c r="F427" s="167"/>
    </x:row>
    <x:row r="428">
      <x:c r="A428" s="186"/>
      <x:c r="B428" s="152"/>
      <x:c r="C428" s="134"/>
      <x:c r="D428" s="136"/>
      <x:c r="E428" s="152"/>
      <x:c r="F428" s="167"/>
    </x:row>
    <x:row r="429">
      <x:c r="A429" s="186"/>
      <x:c r="B429" s="152"/>
      <x:c r="C429" s="134"/>
      <x:c r="D429" s="136"/>
      <x:c r="E429" s="152"/>
      <x:c r="F429" s="167"/>
    </x:row>
    <x:row r="430">
      <x:c r="A430" s="186"/>
      <x:c r="B430" s="152"/>
      <x:c r="C430" s="134"/>
      <x:c r="D430" s="136"/>
      <x:c r="E430" s="152"/>
      <x:c r="F430" s="167"/>
    </x:row>
    <x:row r="431">
      <x:c r="A431" s="186"/>
      <x:c r="B431" s="152"/>
      <x:c r="C431" s="134"/>
      <x:c r="D431" s="136"/>
      <x:c r="E431" s="152"/>
      <x:c r="F431" s="167"/>
    </x:row>
    <x:row r="432">
      <x:c r="A432" s="186"/>
      <x:c r="B432" s="152"/>
      <x:c r="C432" s="134"/>
      <x:c r="D432" s="136"/>
      <x:c r="E432" s="152"/>
      <x:c r="F432" s="167"/>
    </x:row>
    <x:row r="433">
      <x:c r="A433" s="186"/>
      <x:c r="B433" s="152"/>
      <x:c r="C433" s="134"/>
      <x:c r="D433" s="136"/>
      <x:c r="E433" s="152"/>
      <x:c r="F433" s="167"/>
    </x:row>
    <x:row r="434">
      <x:c r="A434" s="186"/>
      <x:c r="B434" s="152"/>
      <x:c r="C434" s="134"/>
      <x:c r="D434" s="136"/>
      <x:c r="E434" s="152"/>
      <x:c r="F434" s="167"/>
    </x:row>
    <x:row r="435">
      <x:c r="A435" s="186"/>
      <x:c r="B435" s="152"/>
      <x:c r="C435" s="134"/>
      <x:c r="D435" s="136"/>
      <x:c r="E435" s="152"/>
      <x:c r="F435" s="167"/>
    </x:row>
    <x:row r="436">
      <x:c r="A436" s="186"/>
      <x:c r="B436" s="152"/>
      <x:c r="C436" s="134"/>
      <x:c r="D436" s="136"/>
      <x:c r="E436" s="152"/>
      <x:c r="F436" s="167"/>
    </x:row>
    <x:row r="437">
      <x:c r="A437" s="186"/>
      <x:c r="B437" s="152"/>
      <x:c r="C437" s="134"/>
      <x:c r="D437" s="136"/>
      <x:c r="E437" s="152"/>
      <x:c r="F437" s="167"/>
    </x:row>
    <x:row r="438">
      <x:c r="A438" s="186"/>
      <x:c r="B438" s="152"/>
      <x:c r="C438" s="134"/>
      <x:c r="D438" s="136"/>
      <x:c r="E438" s="152"/>
      <x:c r="F438" s="167"/>
    </x:row>
    <x:row r="439">
      <x:c r="A439" s="186"/>
      <x:c r="B439" s="152"/>
      <x:c r="C439" s="134"/>
      <x:c r="D439" s="136"/>
      <x:c r="E439" s="152"/>
      <x:c r="F439" s="167"/>
    </x:row>
    <x:row r="440">
      <x:c r="A440" s="186"/>
      <x:c r="B440" s="152"/>
      <x:c r="C440" s="134"/>
      <x:c r="D440" s="136"/>
      <x:c r="E440" s="152"/>
      <x:c r="F440" s="167"/>
    </x:row>
    <x:row r="441">
      <x:c r="A441" s="186"/>
      <x:c r="B441" s="152"/>
      <x:c r="C441" s="134"/>
      <x:c r="D441" s="136"/>
      <x:c r="E441" s="152"/>
      <x:c r="F441" s="167"/>
    </x:row>
    <x:row r="442">
      <x:c r="A442" s="186"/>
      <x:c r="B442" s="152"/>
      <x:c r="C442" s="134"/>
      <x:c r="D442" s="136"/>
      <x:c r="E442" s="152"/>
      <x:c r="F442" s="167"/>
    </x:row>
    <x:row r="443">
      <x:c r="A443" s="186"/>
      <x:c r="B443" s="152"/>
      <x:c r="C443" s="134"/>
      <x:c r="D443" s="136"/>
      <x:c r="E443" s="152"/>
      <x:c r="F443" s="167"/>
    </x:row>
    <x:row r="444">
      <x:c r="A444" s="186"/>
      <x:c r="B444" s="152"/>
      <x:c r="C444" s="134"/>
      <x:c r="D444" s="136"/>
      <x:c r="E444" s="152"/>
      <x:c r="F444" s="167"/>
    </x:row>
    <x:row r="445">
      <x:c r="A445" s="186"/>
      <x:c r="B445" s="152"/>
      <x:c r="C445" s="134"/>
      <x:c r="D445" s="136"/>
      <x:c r="E445" s="152"/>
      <x:c r="F445" s="167"/>
    </x:row>
    <x:row r="446">
      <x:c r="A446" s="186"/>
      <x:c r="B446" s="152"/>
      <x:c r="C446" s="134"/>
      <x:c r="D446" s="136"/>
      <x:c r="E446" s="152"/>
      <x:c r="F446" s="167"/>
    </x:row>
    <x:row r="447">
      <x:c r="A447" s="186"/>
      <x:c r="B447" s="152"/>
      <x:c r="C447" s="134"/>
      <x:c r="D447" s="136"/>
      <x:c r="E447" s="152"/>
      <x:c r="F447" s="167"/>
    </x:row>
    <x:row r="448">
      <x:c r="A448" s="186"/>
      <x:c r="B448" s="152"/>
      <x:c r="C448" s="134"/>
      <x:c r="D448" s="136"/>
      <x:c r="E448" s="152"/>
      <x:c r="F448" s="167"/>
    </x:row>
    <x:row r="449">
      <x:c r="A449" s="186"/>
      <x:c r="B449" s="152"/>
      <x:c r="C449" s="134"/>
      <x:c r="D449" s="136"/>
      <x:c r="E449" s="152"/>
      <x:c r="F449" s="167"/>
    </x:row>
    <x:row r="450">
      <x:c r="A450" s="186"/>
      <x:c r="B450" s="152"/>
      <x:c r="C450" s="134"/>
      <x:c r="D450" s="136"/>
      <x:c r="E450" s="152"/>
      <x:c r="F450" s="167"/>
    </x:row>
    <x:row r="451">
      <x:c r="A451" s="186"/>
      <x:c r="B451" s="152"/>
      <x:c r="C451" s="134"/>
      <x:c r="D451" s="136"/>
      <x:c r="E451" s="152"/>
      <x:c r="F451" s="167"/>
    </x:row>
    <x:row r="452">
      <x:c r="A452" s="186"/>
      <x:c r="B452" s="152"/>
      <x:c r="C452" s="134"/>
      <x:c r="D452" s="136"/>
      <x:c r="E452" s="152"/>
      <x:c r="F452" s="167"/>
    </x:row>
    <x:row r="453">
      <x:c r="A453" s="186"/>
      <x:c r="B453" s="152"/>
      <x:c r="C453" s="134"/>
      <x:c r="D453" s="136"/>
      <x:c r="E453" s="152"/>
      <x:c r="F453" s="167"/>
    </x:row>
    <x:row r="454">
      <x:c r="A454" s="186"/>
      <x:c r="B454" s="152"/>
      <x:c r="C454" s="134"/>
      <x:c r="D454" s="136"/>
      <x:c r="E454" s="152"/>
      <x:c r="F454" s="167"/>
    </x:row>
    <x:row r="455">
      <x:c r="A455" s="186"/>
      <x:c r="B455" s="152"/>
      <x:c r="C455" s="134"/>
      <x:c r="D455" s="136"/>
      <x:c r="E455" s="152"/>
      <x:c r="F455" s="167"/>
    </x:row>
    <x:row r="456">
      <x:c r="A456" s="186"/>
      <x:c r="B456" s="152"/>
      <x:c r="C456" s="134"/>
      <x:c r="D456" s="136"/>
      <x:c r="E456" s="152"/>
      <x:c r="F456" s="167"/>
    </x:row>
    <x:row r="457">
      <x:c r="A457" s="186"/>
      <x:c r="B457" s="152"/>
      <x:c r="C457" s="134"/>
      <x:c r="D457" s="136"/>
      <x:c r="E457" s="152"/>
      <x:c r="F457" s="167"/>
    </x:row>
    <x:row r="458">
      <x:c r="A458" s="186"/>
      <x:c r="B458" s="152"/>
      <x:c r="C458" s="134"/>
      <x:c r="D458" s="136"/>
      <x:c r="E458" s="152"/>
      <x:c r="F458" s="167"/>
    </x:row>
    <x:row r="459">
      <x:c r="A459" s="186"/>
      <x:c r="B459" s="152"/>
      <x:c r="C459" s="134"/>
      <x:c r="D459" s="136"/>
      <x:c r="E459" s="152"/>
      <x:c r="F459" s="167"/>
    </x:row>
    <x:row r="460">
      <x:c r="A460" s="186"/>
      <x:c r="B460" s="152"/>
      <x:c r="C460" s="134"/>
      <x:c r="D460" s="136"/>
      <x:c r="E460" s="152"/>
      <x:c r="F460" s="167"/>
    </x:row>
    <x:row r="461">
      <x:c r="A461" s="186"/>
      <x:c r="B461" s="152"/>
      <x:c r="C461" s="134"/>
      <x:c r="D461" s="136"/>
      <x:c r="E461" s="152"/>
      <x:c r="F461" s="167"/>
    </x:row>
    <x:row r="462">
      <x:c r="A462" s="186"/>
      <x:c r="B462" s="152"/>
      <x:c r="C462" s="134"/>
      <x:c r="D462" s="136"/>
      <x:c r="E462" s="152"/>
      <x:c r="F462" s="167"/>
    </x:row>
    <x:row r="463">
      <x:c r="A463" s="186"/>
      <x:c r="B463" s="152"/>
      <x:c r="C463" s="134"/>
      <x:c r="D463" s="136"/>
      <x:c r="E463" s="152"/>
      <x:c r="F463" s="167"/>
    </x:row>
    <x:row r="464">
      <x:c r="A464" s="186"/>
      <x:c r="B464" s="152"/>
      <x:c r="C464" s="134"/>
      <x:c r="D464" s="136"/>
      <x:c r="E464" s="152"/>
      <x:c r="F464" s="167"/>
    </x:row>
    <x:row r="465">
      <x:c r="A465" s="186"/>
      <x:c r="B465" s="152"/>
      <x:c r="C465" s="134"/>
      <x:c r="D465" s="136"/>
      <x:c r="E465" s="152"/>
      <x:c r="F465" s="167"/>
    </x:row>
    <x:row r="466">
      <x:c r="A466" s="186"/>
      <x:c r="B466" s="152"/>
      <x:c r="C466" s="134"/>
      <x:c r="D466" s="136"/>
      <x:c r="E466" s="152"/>
      <x:c r="F466" s="167"/>
    </x:row>
    <x:row r="467">
      <x:c r="A467" s="186"/>
      <x:c r="B467" s="152"/>
      <x:c r="C467" s="134"/>
      <x:c r="D467" s="136"/>
      <x:c r="E467" s="152"/>
      <x:c r="F467" s="167"/>
    </x:row>
    <x:row r="468">
      <x:c r="A468" s="186"/>
      <x:c r="B468" s="152"/>
      <x:c r="C468" s="134"/>
      <x:c r="D468" s="136"/>
      <x:c r="E468" s="152"/>
      <x:c r="F468" s="167"/>
    </x:row>
    <x:row r="469">
      <x:c r="A469" s="186"/>
      <x:c r="B469" s="152"/>
      <x:c r="C469" s="134"/>
      <x:c r="D469" s="136"/>
      <x:c r="E469" s="152"/>
      <x:c r="F469" s="167"/>
    </x:row>
    <x:row r="470">
      <x:c r="A470" s="186"/>
      <x:c r="B470" s="152"/>
      <x:c r="C470" s="134"/>
      <x:c r="D470" s="136"/>
      <x:c r="E470" s="152"/>
      <x:c r="F470" s="167"/>
    </x:row>
    <x:row r="471">
      <x:c r="A471" s="186"/>
      <x:c r="B471" s="152"/>
      <x:c r="C471" s="134"/>
      <x:c r="D471" s="136"/>
      <x:c r="E471" s="152"/>
      <x:c r="F471" s="167"/>
    </x:row>
    <x:row r="472">
      <x:c r="A472" s="186"/>
      <x:c r="B472" s="152"/>
      <x:c r="C472" s="134"/>
      <x:c r="D472" s="136"/>
      <x:c r="E472" s="152"/>
      <x:c r="F472" s="167"/>
    </x:row>
    <x:row r="473">
      <x:c r="A473" s="186"/>
      <x:c r="B473" s="152"/>
      <x:c r="C473" s="134"/>
      <x:c r="D473" s="136"/>
      <x:c r="E473" s="152"/>
      <x:c r="F473" s="167"/>
    </x:row>
    <x:row r="474">
      <x:c r="A474" s="186"/>
      <x:c r="B474" s="152"/>
      <x:c r="C474" s="134"/>
      <x:c r="D474" s="136"/>
      <x:c r="E474" s="152"/>
      <x:c r="F474" s="167"/>
    </x:row>
    <x:row r="475">
      <x:c r="A475" s="186"/>
      <x:c r="B475" s="152"/>
      <x:c r="C475" s="134"/>
      <x:c r="D475" s="136"/>
      <x:c r="E475" s="152"/>
      <x:c r="F475" s="167"/>
    </x:row>
    <x:row r="476">
      <x:c r="A476" s="186"/>
      <x:c r="B476" s="152"/>
      <x:c r="C476" s="134"/>
      <x:c r="D476" s="136"/>
      <x:c r="E476" s="152"/>
      <x:c r="F476" s="167"/>
    </x:row>
    <x:row r="477">
      <x:c r="A477" s="186"/>
      <x:c r="B477" s="152"/>
      <x:c r="C477" s="134"/>
      <x:c r="D477" s="136"/>
      <x:c r="E477" s="152"/>
      <x:c r="F477" s="167"/>
    </x:row>
    <x:row r="478">
      <x:c r="A478" s="186"/>
      <x:c r="B478" s="152"/>
      <x:c r="C478" s="134"/>
      <x:c r="D478" s="136"/>
      <x:c r="E478" s="152"/>
      <x:c r="F478" s="167"/>
    </x:row>
    <x:row r="479">
      <x:c r="A479" s="186"/>
      <x:c r="B479" s="152"/>
      <x:c r="C479" s="134"/>
      <x:c r="D479" s="136"/>
      <x:c r="E479" s="152"/>
      <x:c r="F479" s="167"/>
    </x:row>
    <x:row r="480">
      <x:c r="A480" s="186"/>
      <x:c r="B480" s="152"/>
      <x:c r="C480" s="134"/>
      <x:c r="D480" s="136"/>
      <x:c r="E480" s="152"/>
      <x:c r="F480" s="167"/>
    </x:row>
    <x:row r="481">
      <x:c r="A481" s="186"/>
      <x:c r="B481" s="152"/>
      <x:c r="C481" s="134"/>
      <x:c r="D481" s="136"/>
      <x:c r="E481" s="152"/>
      <x:c r="F481" s="167"/>
    </x:row>
    <x:row r="482">
      <x:c r="A482" s="186"/>
      <x:c r="B482" s="152"/>
      <x:c r="C482" s="134"/>
      <x:c r="D482" s="136"/>
      <x:c r="E482" s="152"/>
      <x:c r="F482" s="167"/>
    </x:row>
    <x:row r="483">
      <x:c r="A483" s="186"/>
      <x:c r="B483" s="152"/>
      <x:c r="C483" s="134"/>
      <x:c r="D483" s="136"/>
      <x:c r="E483" s="152"/>
      <x:c r="F483" s="167"/>
    </x:row>
    <x:row r="484">
      <x:c r="A484" s="186"/>
      <x:c r="B484" s="152"/>
      <x:c r="C484" s="134"/>
      <x:c r="D484" s="136"/>
      <x:c r="E484" s="152"/>
      <x:c r="F484" s="167"/>
    </x:row>
    <x:row r="485">
      <x:c r="A485" s="186"/>
      <x:c r="B485" s="152"/>
      <x:c r="C485" s="134"/>
      <x:c r="D485" s="136"/>
      <x:c r="E485" s="152"/>
      <x:c r="F485" s="167"/>
    </x:row>
    <x:row r="486">
      <x:c r="A486" s="186"/>
      <x:c r="B486" s="152"/>
      <x:c r="C486" s="134"/>
      <x:c r="D486" s="136"/>
      <x:c r="E486" s="152"/>
      <x:c r="F486" s="167"/>
    </x:row>
    <x:row r="487">
      <x:c r="A487" s="186"/>
      <x:c r="B487" s="152"/>
      <x:c r="C487" s="134"/>
      <x:c r="D487" s="136"/>
      <x:c r="E487" s="152"/>
      <x:c r="F487" s="167"/>
    </x:row>
    <x:row r="488">
      <x:c r="A488" s="186"/>
      <x:c r="B488" s="152"/>
      <x:c r="C488" s="134"/>
      <x:c r="D488" s="136"/>
      <x:c r="E488" s="152"/>
      <x:c r="F488" s="167"/>
    </x:row>
    <x:row r="489">
      <x:c r="A489" s="186"/>
      <x:c r="B489" s="152"/>
      <x:c r="C489" s="134"/>
      <x:c r="D489" s="136"/>
      <x:c r="E489" s="152"/>
      <x:c r="F489" s="167"/>
    </x:row>
    <x:row r="490">
      <x:c r="A490" s="186"/>
      <x:c r="B490" s="152"/>
      <x:c r="C490" s="134"/>
      <x:c r="D490" s="136"/>
      <x:c r="E490" s="152"/>
      <x:c r="F490" s="167"/>
    </x:row>
    <x:row r="491">
      <x:c r="A491" s="186"/>
      <x:c r="B491" s="152"/>
      <x:c r="C491" s="134"/>
      <x:c r="D491" s="136"/>
      <x:c r="E491" s="152"/>
      <x:c r="F491" s="167"/>
    </x:row>
    <x:row r="492">
      <x:c r="A492" s="186"/>
      <x:c r="B492" s="152"/>
      <x:c r="C492" s="134"/>
      <x:c r="D492" s="136"/>
      <x:c r="E492" s="152"/>
      <x:c r="F492" s="167"/>
    </x:row>
    <x:row r="493">
      <x:c r="A493" s="186"/>
      <x:c r="B493" s="152"/>
      <x:c r="C493" s="134"/>
      <x:c r="D493" s="136"/>
      <x:c r="E493" s="152"/>
      <x:c r="F493" s="167"/>
    </x:row>
    <x:row r="494">
      <x:c r="A494" s="186"/>
      <x:c r="B494" s="152"/>
      <x:c r="C494" s="134"/>
      <x:c r="D494" s="136"/>
      <x:c r="E494" s="152"/>
      <x:c r="F494" s="167"/>
    </x:row>
    <x:row r="495">
      <x:c r="A495" s="186"/>
      <x:c r="B495" s="152"/>
      <x:c r="C495" s="134"/>
      <x:c r="D495" s="136"/>
      <x:c r="E495" s="152"/>
      <x:c r="F495" s="167"/>
    </x:row>
    <x:row r="496">
      <x:c r="A496" s="186"/>
      <x:c r="B496" s="152"/>
      <x:c r="C496" s="134"/>
      <x:c r="D496" s="136"/>
      <x:c r="E496" s="152"/>
      <x:c r="F496" s="167"/>
    </x:row>
    <x:row r="497">
      <x:c r="A497" s="186"/>
      <x:c r="B497" s="152"/>
      <x:c r="C497" s="134"/>
      <x:c r="D497" s="136"/>
      <x:c r="E497" s="152"/>
      <x:c r="F497" s="167"/>
    </x:row>
    <x:row r="498">
      <x:c r="A498" s="186"/>
      <x:c r="B498" s="152"/>
      <x:c r="C498" s="134"/>
      <x:c r="D498" s="136"/>
      <x:c r="E498" s="152"/>
      <x:c r="F498" s="167"/>
    </x:row>
    <x:row r="499">
      <x:c r="A499" s="186"/>
      <x:c r="B499" s="152"/>
      <x:c r="C499" s="134"/>
      <x:c r="D499" s="136"/>
      <x:c r="E499" s="152"/>
      <x:c r="F499" s="167"/>
    </x:row>
    <x:row r="500">
      <x:c r="A500" s="186"/>
      <x:c r="B500" s="152"/>
      <x:c r="C500" s="134"/>
      <x:c r="D500" s="136"/>
      <x:c r="E500" s="152"/>
      <x:c r="F500" s="167"/>
    </x:row>
    <x:row r="501">
      <x:c r="A501" s="186"/>
      <x:c r="B501" s="152"/>
      <x:c r="C501" s="134"/>
      <x:c r="D501" s="136"/>
      <x:c r="E501" s="152"/>
      <x:c r="F501" s="167"/>
    </x:row>
    <x:row r="502">
      <x:c r="A502" s="186"/>
      <x:c r="B502" s="152"/>
      <x:c r="C502" s="134"/>
      <x:c r="D502" s="136"/>
      <x:c r="E502" s="152"/>
      <x:c r="F502" s="167"/>
    </x:row>
    <x:row r="503">
      <x:c r="A503" s="186"/>
      <x:c r="B503" s="152"/>
      <x:c r="C503" s="134"/>
      <x:c r="D503" s="136"/>
      <x:c r="E503" s="152"/>
      <x:c r="F503" s="167"/>
    </x:row>
    <x:row r="504">
      <x:c r="A504" s="186"/>
      <x:c r="B504" s="152"/>
      <x:c r="C504" s="134"/>
      <x:c r="D504" s="136"/>
      <x:c r="E504" s="152"/>
      <x:c r="F504" s="167"/>
    </x:row>
    <x:row r="505">
      <x:c r="A505" s="186"/>
      <x:c r="B505" s="174"/>
      <x:c r="C505" s="169"/>
      <x:c r="D505" s="170"/>
      <x:c r="E505" s="174"/>
      <x:c r="F505" s="171"/>
    </x:row>
  </x:sheetData>
  <x:mergeCells>
    <x:mergeCell ref="A1:F1"/>
    <x:mergeCell ref="A3:F3"/>
  </x:mergeCells>
  <x:dataValidations count="3">
    <x:dataValidation type="list" sqref="B6:B505">
      <x:formula1>"Доход,Расход,Возврат"</x:formula1>
    </x:dataValidation>
    <x:dataValidation type="list" sqref="C6:C505">
      <x:formula1>"Жильё,ЖКХ и связь,Дети,Продукты,Транспорт,Досуг,Дом и мелкие покупки"</x:formula1>
    </x:dataValidation>
    <x:dataValidation type="list" sqref="E6:E505">
      <x:formula1>"Основной,Резерв платежей"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054f922ed04e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17" hidden="0" customWidth="1"/>
    <x:col min="5" max="5" width="15" hidden="0" customWidth="1"/>
    <x:col min="6" max="6" width="12" hidden="0" customWidth="1"/>
  </x:cols>
  <x:sheetData>
    <x:row r="1" ht="38" customHeight="1">
      <x:c r="A1" s="4" t="str">
        <x:v>Финансовые цели</x:v>
      </x:c>
      <x:c r="B1" s="4" t="str">
        <x:v>Финансовые цели</x:v>
      </x:c>
      <x:c r="C1" s="4" t="str">
        <x:v>Финансовые цели</x:v>
      </x:c>
      <x:c r="D1" s="4" t="str">
        <x:v>Финансовые цели</x:v>
      </x:c>
      <x:c r="E1" s="4" t="str">
        <x:v>Финансовые цели</x:v>
      </x:c>
      <x:c r="F1" s="4" t="str">
        <x:v>Финансовые цели</x:v>
      </x:c>
    </x:row>
    <x:row r="3">
      <x:c r="A3" s="201" t="str">
        <x:v>Цели отделены от крупных платежей: подушка — накопление капитала, страховка и лагерь — будущие расходы.</x:v>
      </x:c>
      <x:c r="B3" s="201"/>
      <x:c r="C3" s="201"/>
      <x:c r="D3" s="201"/>
      <x:c r="E3" s="201"/>
      <x:c r="F3" s="201"/>
    </x:row>
    <x:row r="5" ht="34" customHeight="1">
      <x:c r="A5" s="37" t="str">
        <x:v>Цель</x:v>
      </x:c>
      <x:c r="B5" s="38" t="str">
        <x:v>Целевая сумма</x:v>
      </x:c>
      <x:c r="C5" s="38" t="str">
        <x:v>Уже накоплено</x:v>
      </x:c>
      <x:c r="D5" s="38" t="str">
        <x:v>В месяц</x:v>
      </x:c>
      <x:c r="E5" s="38" t="str">
        <x:v>Прогресс</x:v>
      </x:c>
      <x:c r="F5" s="39" t="str">
        <x:v>Активно</x:v>
      </x:c>
    </x:row>
    <x:row r="6">
      <x:c r="A6" s="124" t="str">
        <x:v>Финансовая подушка</x:v>
      </x:c>
      <x:c r="B6" s="127" t="n">
        <x:v>600000</x:v>
      </x:c>
      <x:c r="C6" s="127" t="n">
        <x:v>15000</x:v>
      </x:c>
      <x:c r="D6" s="128" t="n">
        <x:v>10000</x:v>
      </x:c>
      <x:c r="E6" s="192" t="n">
        <x:f>IF(A6="","",IF(B6=0,0,C6/B6))</x:f>
        <x:v>0.025</x:v>
      </x:c>
      <x:c r="F6" s="198" t="str">
        <x:v>Да</x:v>
      </x:c>
    </x:row>
    <x:row r="7">
      <x:c r="A7" s="133"/>
      <x:c r="B7" s="136"/>
      <x:c r="C7" s="136"/>
      <x:c r="D7" s="137"/>
      <x:c r="E7" s="193" t="str">
        <x:f>IF(A7="","",IF(B7=0,0,C7/B7))</x:f>
      </x:c>
      <x:c r="F7" s="199"/>
    </x:row>
    <x:row r="8">
      <x:c r="A8" s="133"/>
      <x:c r="B8" s="136"/>
      <x:c r="C8" s="136"/>
      <x:c r="D8" s="137"/>
      <x:c r="E8" s="193" t="str">
        <x:f>IF(A8="","",IF(B8=0,0,C8/B8))</x:f>
      </x:c>
      <x:c r="F8" s="199"/>
    </x:row>
    <x:row r="9">
      <x:c r="A9" s="133"/>
      <x:c r="B9" s="136"/>
      <x:c r="C9" s="136"/>
      <x:c r="D9" s="137"/>
      <x:c r="E9" s="193" t="str">
        <x:f>IF(A9="","",IF(B9=0,0,C9/B9))</x:f>
      </x:c>
      <x:c r="F9" s="199"/>
    </x:row>
    <x:row r="10">
      <x:c r="A10" s="133"/>
      <x:c r="B10" s="136"/>
      <x:c r="C10" s="136"/>
      <x:c r="D10" s="137"/>
      <x:c r="E10" s="193" t="str">
        <x:f>IF(A10="","",IF(B10=0,0,C10/B10))</x:f>
      </x:c>
      <x:c r="F10" s="199"/>
    </x:row>
    <x:row r="11">
      <x:c r="A11" s="133"/>
      <x:c r="B11" s="136"/>
      <x:c r="C11" s="136"/>
      <x:c r="D11" s="137"/>
      <x:c r="E11" s="193" t="str">
        <x:f>IF(A11="","",IF(B11=0,0,C11/B11))</x:f>
      </x:c>
      <x:c r="F11" s="199"/>
    </x:row>
    <x:row r="12">
      <x:c r="A12" s="133"/>
      <x:c r="B12" s="136"/>
      <x:c r="C12" s="136"/>
      <x:c r="D12" s="137"/>
      <x:c r="E12" s="193" t="str">
        <x:f>IF(A12="","",IF(B12=0,0,C12/B12))</x:f>
      </x:c>
      <x:c r="F12" s="199"/>
    </x:row>
    <x:row r="13">
      <x:c r="A13" s="133"/>
      <x:c r="B13" s="136"/>
      <x:c r="C13" s="136"/>
      <x:c r="D13" s="137"/>
      <x:c r="E13" s="193" t="str">
        <x:f>IF(A13="","",IF(B13=0,0,C13/B13))</x:f>
      </x:c>
      <x:c r="F13" s="199"/>
    </x:row>
    <x:row r="14">
      <x:c r="A14" s="133"/>
      <x:c r="B14" s="136"/>
      <x:c r="C14" s="136"/>
      <x:c r="D14" s="137"/>
      <x:c r="E14" s="193" t="str">
        <x:f>IF(A14="","",IF(B14=0,0,C14/B14))</x:f>
      </x:c>
      <x:c r="F14" s="199"/>
    </x:row>
    <x:row r="15">
      <x:c r="A15" s="142"/>
      <x:c r="B15" s="145"/>
      <x:c r="C15" s="145"/>
      <x:c r="D15" s="146"/>
      <x:c r="E15" s="194" t="str">
        <x:f>IF(A15="","",IF(B15=0,0,C15/B15))</x:f>
      </x:c>
      <x:c r="F15" s="200"/>
    </x:row>
  </x:sheetData>
  <x:mergeCells>
    <x:mergeCell ref="A1:F1"/>
    <x:mergeCell ref="A3:F3"/>
  </x:mergeCells>
  <x:dataValidations count="1">
    <x:dataValidation type="list" sqref="F6:F15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61d7ef5c1540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8" customHeight="1">
      <x:c r="A1" s="4" t="str">
        <x:v>Настройки плана</x:v>
      </x:c>
      <x:c r="B1" s="4" t="str">
        <x:v>Настройки плана</x:v>
      </x:c>
      <x:c r="C1" s="4" t="str">
        <x:v>Настройки плана</x:v>
      </x:c>
      <x:c r="D1" s="4" t="str">
        <x:v>Настройки плана</x:v>
      </x:c>
      <x:c r="E1" s="4" t="str">
        <x:v>Настройки плана</x:v>
      </x:c>
      <x:c r="F1" s="4" t="str">
        <x:v>Настройки плана</x:v>
      </x:c>
    </x:row>
    <x:row r="3">
      <x:c r="A3" s="51" t="str">
        <x:v>Первый месяц</x:v>
      </x:c>
      <x:c r="B3" s="95" t="n">
        <x:v>46204</x:v>
      </x:c>
    </x:row>
    <x:row r="4">
      <x:c r="A4" s="51" t="str">
        <x:v>Горизонт, месяцев</x:v>
      </x:c>
      <x:c r="B4" s="54" t="n">
        <x:v>24</x:v>
      </x:c>
    </x:row>
    <x:row r="5">
      <x:c r="A5" s="51" t="str">
        <x:v>Плановый доход в месяц</x:v>
      </x:c>
      <x:c r="B5" s="59" t="n">
        <x:v>180000</x:v>
      </x:c>
    </x:row>
    <x:row r="6">
      <x:c r="A6" s="51" t="str">
        <x:v>Порог предупреждения</x:v>
      </x:c>
      <x:c r="B6" s="60" t="n">
        <x:v>0.8</x:v>
      </x:c>
    </x:row>
    <x:row r="7">
      <x:c r="A7" s="51" t="str">
        <x:v>В финансовую подушку</x:v>
      </x:c>
      <x:c r="B7" s="59" t="n">
        <x:v>10000</x:v>
      </x:c>
    </x:row>
    <x:row r="8">
      <x:c r="A8" s="51" t="str">
        <x:v>Валюта</x:v>
      </x:c>
      <x:c r="B8" s="55" t="str">
        <x:v>RUB</x:v>
      </x:c>
    </x:row>
    <x:row r="9">
      <x:c r="A9" s="51" t="str">
        <x:v>Версия модели</x:v>
      </x:c>
      <x:c r="B9" t="str">
        <x:v>G-002 · schema 1.0.0</x:v>
      </x:c>
    </x:row>
    <x:row r="11" ht="34" customHeight="1">
      <x:c r="A11" s="62" t="str">
        <x:v>Совет: начните с крупных и сезонных платежей — именно они чаще всего ломают план одного месяца.</x:v>
      </x:c>
      <x:c r="B11" s="62"/>
      <x:c r="C11" s="62"/>
      <x:c r="D11" s="62"/>
      <x:c r="E11" s="62"/>
      <x:c r="F11" s="62"/>
    </x:row>
  </x:sheetData>
  <x:mergeCells>
    <x:mergeCell ref="A1:F1"/>
    <x:mergeCell ref="A11:F11"/>
  </x:mergeCells>
  <x:dataValidations count="1">
    <x:dataValidation type="list" sqref="B4">
      <x:formula1>"12,24"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8" hidden="0" customWidth="1"/>
    <x:col min="5" max="5" width="22" hidden="0" customWidth="1"/>
    <x:col min="6" max="6" width="14" hidden="0" customWidth="1"/>
  </x:cols>
  <x:sheetData>
    <x:row r="1" ht="38" customHeight="1">
      <x:c r="A1" s="4" t="str">
        <x:v>Справочники</x:v>
      </x:c>
      <x:c r="B1" s="4" t="str">
        <x:v>Справочники</x:v>
      </x:c>
      <x:c r="C1" s="4" t="str">
        <x:v>Справочники</x:v>
      </x:c>
      <x:c r="D1" s="4" t="str">
        <x:v>Справочники</x:v>
      </x:c>
      <x:c r="E1" s="4" t="str">
        <x:v>Справочники</x:v>
      </x:c>
      <x:c r="F1" s="4" t="str">
        <x:v>Справочники</x:v>
      </x:c>
    </x:row>
    <x:row r="3" ht="34" customHeight="1">
      <x:c r="A3" s="37" t="str">
        <x:v>Да / Нет</x:v>
      </x:c>
      <x:c r="B3" s="38" t="str">
        <x:v>Повтор</x:v>
      </x:c>
      <x:c r="C3" s="38" t="str">
        <x:v>Тип операции</x:v>
      </x:c>
      <x:c r="D3" s="38" t="str">
        <x:v>Категории</x:v>
      </x:c>
      <x:c r="E3" s="38" t="str">
        <x:v>Счета</x:v>
      </x:c>
      <x:c r="F3" s="39" t="str">
        <x:v>Месяцы</x:v>
      </x:c>
    </x:row>
    <x:row r="4">
      <x:c r="A4" t="str">
        <x:v>Да</x:v>
      </x:c>
      <x:c r="B4" t="str">
        <x:v>Ежегодный</x:v>
      </x:c>
      <x:c r="C4" t="str">
        <x:v>Доход</x:v>
      </x:c>
      <x:c r="D4" t="str">
        <x:v>Жильё</x:v>
      </x:c>
      <x:c r="E4" t="str">
        <x:v>Основной</x:v>
      </x:c>
      <x:c r="F4" t="str">
        <x:v>янв</x:v>
      </x:c>
    </x:row>
    <x:row r="5">
      <x:c r="A5" t="str">
        <x:v>Нет</x:v>
      </x:c>
      <x:c r="B5" t="str">
        <x:v>Разовый</x:v>
      </x:c>
      <x:c r="C5" t="str">
        <x:v>Расход</x:v>
      </x:c>
      <x:c r="D5" t="str">
        <x:v>ЖКХ и связь</x:v>
      </x:c>
      <x:c r="E5" t="str">
        <x:v>Резерв платежей</x:v>
      </x:c>
      <x:c r="F5" t="str">
        <x:v>фев</x:v>
      </x:c>
    </x:row>
    <x:row r="6">
      <x:c r="C6" t="str">
        <x:v>Возврат</x:v>
      </x:c>
      <x:c r="D6" t="str">
        <x:v>Дети</x:v>
      </x:c>
      <x:c r="F6" t="str">
        <x:v>мар</x:v>
      </x:c>
    </x:row>
    <x:row r="7">
      <x:c r="D7" t="str">
        <x:v>Продукты</x:v>
      </x:c>
      <x:c r="F7" t="str">
        <x:v>апр</x:v>
      </x:c>
    </x:row>
    <x:row r="8">
      <x:c r="D8" t="str">
        <x:v>Транспорт</x:v>
      </x:c>
      <x:c r="F8" t="str">
        <x:v>май</x:v>
      </x:c>
    </x:row>
    <x:row r="9">
      <x:c r="D9" t="str">
        <x:v>Досуг</x:v>
      </x:c>
      <x:c r="F9" t="str">
        <x:v>июн</x:v>
      </x:c>
    </x:row>
    <x:row r="10">
      <x:c r="D10" t="str">
        <x:v>Дом и мелкие покупки</x:v>
      </x:c>
      <x:c r="F10" t="str">
        <x:v>июл</x:v>
      </x:c>
    </x:row>
    <x:row r="11">
      <x:c r="F11" t="str">
        <x:v>авг</x:v>
      </x:c>
    </x:row>
    <x:row r="12">
      <x:c r="F12" t="str">
        <x:v>сен</x:v>
      </x:c>
    </x:row>
    <x:row r="13">
      <x:c r="F13" t="str">
        <x:v>окт</x:v>
      </x:c>
    </x:row>
    <x:row r="14">
      <x:c r="F14" t="str">
        <x:v>ноя</x:v>
      </x:c>
    </x:row>
    <x:row r="15">
      <x:c r="F15" t="str">
        <x:v>дек</x:v>
      </x:c>
    </x:row>
  </x:sheetData>
  <x:mergeCells>
    <x:mergeCell ref="A1:F1"/>
  </x:mergeCells>
  <x:pageMargins left="0.7" right="0.7" top="0.75" bottom="0.75" header="0.3" footer="0.3"/>
</x:worksheet>
</file>